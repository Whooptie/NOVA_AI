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Jarvis_ai\docs\"/>
    </mc:Choice>
  </mc:AlternateContent>
  <xr:revisionPtr revIDLastSave="0" documentId="13_ncr:1_{5C80FA6E-BE5A-41C9-B462-ED2B42EDF0F9}" xr6:coauthVersionLast="47" xr6:coauthVersionMax="47" xr10:uidLastSave="{00000000-0000-0000-0000-000000000000}"/>
  <bookViews>
    <workbookView xWindow="-120" yWindow="-120" windowWidth="43440" windowHeight="26520" xr2:uid="{00000000-000D-0000-FFFF-FFFF00000000}"/>
  </bookViews>
  <sheets>
    <sheet name="Inventory" sheetId="1" r:id="rId1"/>
    <sheet name="Models &amp; LLMs" sheetId="5" r:id="rId2"/>
    <sheet name="CountsPerSuite" sheetId="3" r:id="rId3"/>
    <sheet name="Duplicate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7" i="1" l="1"/>
  <c r="A348" i="1"/>
  <c r="A345" i="1"/>
  <c r="A346" i="1"/>
  <c r="A343" i="1"/>
  <c r="A344" i="1"/>
  <c r="H351" i="1"/>
  <c r="H352" i="1"/>
  <c r="H353" i="1"/>
  <c r="H354" i="1"/>
  <c r="H355" i="1"/>
  <c r="H356" i="1"/>
  <c r="H342" i="1"/>
  <c r="H343" i="1"/>
  <c r="H344" i="1"/>
  <c r="H345" i="1"/>
  <c r="H346" i="1"/>
  <c r="H347" i="1"/>
  <c r="H348" i="1"/>
  <c r="H349" i="1"/>
  <c r="H350" i="1"/>
  <c r="H357" i="1"/>
  <c r="H358" i="1"/>
  <c r="A342" i="1"/>
  <c r="H332" i="1"/>
  <c r="H333" i="1"/>
  <c r="H334" i="1"/>
  <c r="H335" i="1"/>
  <c r="H336" i="1"/>
  <c r="H337" i="1"/>
  <c r="H338" i="1"/>
  <c r="H339" i="1"/>
  <c r="H340" i="1"/>
  <c r="H341" i="1"/>
  <c r="A337" i="1"/>
  <c r="A333" i="1"/>
  <c r="A334" i="1"/>
  <c r="A335" i="1"/>
  <c r="A336" i="1"/>
  <c r="A338" i="1"/>
  <c r="A339" i="1"/>
  <c r="A340" i="1"/>
  <c r="A341" i="1"/>
  <c r="H327" i="1"/>
  <c r="H328" i="1"/>
  <c r="H329" i="1"/>
  <c r="H330" i="1"/>
  <c r="H331" i="1"/>
  <c r="A327" i="1"/>
  <c r="A328" i="1"/>
  <c r="A329" i="1"/>
  <c r="A330" i="1"/>
  <c r="A326" i="1"/>
  <c r="H320" i="1"/>
  <c r="H321" i="1"/>
  <c r="H322" i="1"/>
  <c r="A320" i="1"/>
  <c r="A321" i="1"/>
  <c r="A322" i="1"/>
  <c r="B38" i="3"/>
  <c r="A302" i="1"/>
  <c r="A303" i="1"/>
  <c r="A297" i="1"/>
  <c r="A298" i="1"/>
  <c r="H298" i="1"/>
  <c r="H299" i="1"/>
  <c r="H297" i="1"/>
  <c r="H293" i="1"/>
  <c r="H294" i="1"/>
  <c r="H295" i="1"/>
  <c r="H296" i="1"/>
  <c r="A293" i="1"/>
  <c r="A294" i="1"/>
  <c r="H288" i="1"/>
  <c r="H289" i="1"/>
  <c r="H290" i="1"/>
  <c r="A288" i="1"/>
  <c r="A289" i="1"/>
  <c r="A290" i="1"/>
  <c r="A266" i="1"/>
  <c r="A267" i="1"/>
  <c r="H266" i="1"/>
  <c r="H267" i="1"/>
  <c r="H268" i="1"/>
  <c r="A260" i="1"/>
  <c r="H252" i="1"/>
  <c r="H253" i="1"/>
  <c r="H254" i="1"/>
  <c r="H255" i="1"/>
  <c r="H256" i="1"/>
  <c r="H257" i="1"/>
  <c r="H258" i="1"/>
  <c r="H259" i="1"/>
  <c r="H260" i="1"/>
  <c r="A252" i="1"/>
  <c r="A253" i="1"/>
  <c r="A254" i="1"/>
  <c r="A255" i="1"/>
  <c r="A256" i="1"/>
  <c r="A257" i="1"/>
  <c r="A258" i="1"/>
  <c r="A259" i="1"/>
  <c r="A243" i="1"/>
  <c r="A244" i="1"/>
  <c r="A245" i="1"/>
  <c r="H242" i="1"/>
  <c r="H243" i="1"/>
  <c r="H244" i="1"/>
  <c r="H245" i="1"/>
  <c r="H246" i="1"/>
  <c r="B12" i="3"/>
  <c r="A231" i="1"/>
  <c r="A232" i="1"/>
  <c r="A233" i="1"/>
  <c r="A234" i="1"/>
  <c r="A235" i="1"/>
  <c r="A236" i="1"/>
  <c r="A237" i="1"/>
  <c r="H232" i="1"/>
  <c r="H233" i="1"/>
  <c r="H234" i="1"/>
  <c r="H235" i="1"/>
  <c r="H236" i="1"/>
  <c r="H237" i="1"/>
  <c r="H231" i="1"/>
  <c r="H198" i="1"/>
  <c r="H199" i="1"/>
  <c r="H200" i="1"/>
  <c r="H201" i="1"/>
  <c r="H202" i="1"/>
  <c r="H203" i="1"/>
  <c r="H204" i="1"/>
  <c r="H206" i="1"/>
  <c r="H205" i="1"/>
  <c r="H207" i="1"/>
  <c r="H208" i="1"/>
  <c r="H209" i="1"/>
  <c r="H210" i="1"/>
  <c r="H211" i="1"/>
  <c r="H212" i="1"/>
  <c r="H213" i="1"/>
  <c r="H214" i="1"/>
  <c r="H215" i="1"/>
  <c r="H197" i="1"/>
  <c r="H196" i="1"/>
  <c r="H188" i="1"/>
  <c r="H192" i="1"/>
  <c r="H193" i="1"/>
  <c r="H194" i="1"/>
  <c r="H195" i="1"/>
  <c r="A198" i="1"/>
  <c r="A199" i="1"/>
  <c r="A200" i="1"/>
  <c r="A201" i="1"/>
  <c r="A202" i="1"/>
  <c r="A203" i="1"/>
  <c r="A204" i="1"/>
  <c r="A196" i="1"/>
  <c r="A225" i="1"/>
  <c r="A217" i="1"/>
  <c r="A218" i="1"/>
  <c r="A219" i="1"/>
  <c r="A220" i="1"/>
  <c r="A221" i="1"/>
  <c r="A222" i="1"/>
  <c r="A223" i="1"/>
  <c r="H223" i="1"/>
  <c r="H222" i="1"/>
  <c r="H221" i="1"/>
  <c r="H220" i="1"/>
  <c r="H219" i="1"/>
  <c r="H218" i="1"/>
  <c r="H217" i="1"/>
  <c r="H225" i="1"/>
  <c r="H224" i="1"/>
  <c r="A224" i="1"/>
  <c r="A215" i="1"/>
  <c r="A214" i="1"/>
  <c r="H190" i="1"/>
  <c r="H191" i="1"/>
  <c r="A190" i="1"/>
  <c r="A191" i="1"/>
  <c r="H69" i="1"/>
  <c r="A69" i="1"/>
  <c r="M28" i="3"/>
  <c r="M12" i="3"/>
  <c r="M14" i="3"/>
  <c r="M16" i="3"/>
  <c r="M18" i="3"/>
  <c r="M20" i="3"/>
  <c r="M22" i="3"/>
  <c r="M24" i="3"/>
  <c r="M26" i="3"/>
  <c r="J4" i="3"/>
  <c r="B39" i="3"/>
  <c r="B52" i="3"/>
  <c r="B18" i="3"/>
  <c r="B22" i="3"/>
  <c r="B41" i="3"/>
  <c r="B47" i="3"/>
  <c r="B8" i="3"/>
  <c r="B51" i="3"/>
  <c r="B24" i="3"/>
  <c r="B43" i="3"/>
  <c r="A31" i="1"/>
  <c r="H31" i="1"/>
  <c r="A26" i="1"/>
  <c r="H26" i="1"/>
  <c r="A15" i="1"/>
  <c r="A16" i="1"/>
  <c r="A17" i="1"/>
  <c r="H14" i="1"/>
  <c r="H15" i="1"/>
  <c r="H16" i="1"/>
  <c r="H17" i="1"/>
  <c r="H10" i="1"/>
  <c r="H11" i="1"/>
  <c r="A10" i="1"/>
  <c r="A11" i="1"/>
  <c r="A8" i="1"/>
  <c r="H5" i="1"/>
  <c r="H6" i="1"/>
  <c r="H371" i="1"/>
  <c r="H7" i="1"/>
  <c r="B11" i="3"/>
  <c r="A5" i="1"/>
  <c r="A6" i="1"/>
  <c r="A304" i="1"/>
  <c r="A371" i="1"/>
  <c r="A7" i="1"/>
  <c r="A370" i="1"/>
  <c r="H370" i="1"/>
  <c r="A2" i="1"/>
  <c r="A192" i="1"/>
  <c r="A3" i="1"/>
  <c r="A66" i="1"/>
  <c r="A67" i="1"/>
  <c r="A68" i="1"/>
  <c r="A4" i="1"/>
  <c r="A9" i="1"/>
  <c r="A13" i="1"/>
  <c r="A14" i="1"/>
  <c r="A18" i="1"/>
  <c r="A19" i="1"/>
  <c r="A20" i="1"/>
  <c r="A21" i="1"/>
  <c r="A22" i="1"/>
  <c r="A23" i="1"/>
  <c r="A24" i="1"/>
  <c r="A25" i="1"/>
  <c r="A27" i="1"/>
  <c r="A28" i="1"/>
  <c r="A29" i="1"/>
  <c r="A30" i="1"/>
  <c r="A32" i="1"/>
  <c r="A33" i="1"/>
  <c r="A34" i="1"/>
  <c r="A35" i="1"/>
  <c r="A36" i="1"/>
  <c r="A37" i="1"/>
  <c r="A305" i="1"/>
  <c r="A38" i="1"/>
  <c r="A12" i="1"/>
  <c r="A109" i="1"/>
  <c r="A39" i="1"/>
  <c r="A166" i="1"/>
  <c r="A40" i="1"/>
  <c r="A307" i="1"/>
  <c r="A323" i="1"/>
  <c r="A365" i="1"/>
  <c r="A41" i="1"/>
  <c r="A42" i="1"/>
  <c r="A44" i="1"/>
  <c r="A45" i="1"/>
  <c r="A46" i="1"/>
  <c r="A47" i="1"/>
  <c r="A48" i="1"/>
  <c r="A167" i="1"/>
  <c r="A366" i="1"/>
  <c r="A367" i="1"/>
  <c r="A368" i="1"/>
  <c r="A446" i="1"/>
  <c r="A86" i="1"/>
  <c r="A188" i="1"/>
  <c r="A110" i="1"/>
  <c r="A111" i="1"/>
  <c r="A49" i="1"/>
  <c r="A189" i="1"/>
  <c r="A306" i="1"/>
  <c r="A52" i="1"/>
  <c r="A53" i="1"/>
  <c r="A54" i="1"/>
  <c r="A55" i="1"/>
  <c r="A56" i="1"/>
  <c r="A57" i="1"/>
  <c r="A58" i="1"/>
  <c r="A59" i="1"/>
  <c r="A60" i="1"/>
  <c r="A61" i="1"/>
  <c r="A373" i="1"/>
  <c r="A117" i="1"/>
  <c r="A62" i="1"/>
  <c r="A118" i="1"/>
  <c r="A206" i="1"/>
  <c r="A63" i="1"/>
  <c r="A427" i="1"/>
  <c r="A64" i="1"/>
  <c r="A65" i="1"/>
  <c r="A375" i="1"/>
  <c r="A428" i="1"/>
  <c r="A112" i="1"/>
  <c r="A429" i="1"/>
  <c r="A113" i="1"/>
  <c r="A376" i="1"/>
  <c r="A193" i="1"/>
  <c r="A369" i="1"/>
  <c r="A114" i="1"/>
  <c r="A284" i="1"/>
  <c r="A194" i="1"/>
  <c r="A378" i="1"/>
  <c r="A50" i="1"/>
  <c r="A51" i="1"/>
  <c r="A308" i="1"/>
  <c r="A377" i="1"/>
  <c r="A309" i="1"/>
  <c r="A70" i="1"/>
  <c r="A374" i="1"/>
  <c r="A104" i="1"/>
  <c r="A115" i="1"/>
  <c r="A116" i="1"/>
  <c r="A79" i="1"/>
  <c r="A80" i="1"/>
  <c r="A81" i="1"/>
  <c r="A82" i="1"/>
  <c r="A83" i="1"/>
  <c r="A84" i="1"/>
  <c r="A85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5" i="1"/>
  <c r="A106" i="1"/>
  <c r="A107" i="1"/>
  <c r="A10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268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43" i="1"/>
  <c r="A161" i="1"/>
  <c r="A162" i="1"/>
  <c r="A163" i="1"/>
  <c r="A164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95" i="1"/>
  <c r="A197" i="1"/>
  <c r="A205" i="1"/>
  <c r="A207" i="1"/>
  <c r="A208" i="1"/>
  <c r="A209" i="1"/>
  <c r="A210" i="1"/>
  <c r="A211" i="1"/>
  <c r="A212" i="1"/>
  <c r="A213" i="1"/>
  <c r="A216" i="1"/>
  <c r="A226" i="1"/>
  <c r="A165" i="1"/>
  <c r="A78" i="1"/>
  <c r="A227" i="1"/>
  <c r="A228" i="1"/>
  <c r="A229" i="1"/>
  <c r="A230" i="1"/>
  <c r="A238" i="1"/>
  <c r="A239" i="1"/>
  <c r="A240" i="1"/>
  <c r="A241" i="1"/>
  <c r="A242" i="1"/>
  <c r="A246" i="1"/>
  <c r="A247" i="1"/>
  <c r="A248" i="1"/>
  <c r="A249" i="1"/>
  <c r="A250" i="1"/>
  <c r="A251" i="1"/>
  <c r="A261" i="1"/>
  <c r="A262" i="1"/>
  <c r="A263" i="1"/>
  <c r="A264" i="1"/>
  <c r="A265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72" i="1"/>
  <c r="A73" i="1"/>
  <c r="A74" i="1"/>
  <c r="A75" i="1"/>
  <c r="A76" i="1"/>
  <c r="A77" i="1"/>
  <c r="A285" i="1"/>
  <c r="A286" i="1"/>
  <c r="A291" i="1"/>
  <c r="A292" i="1"/>
  <c r="A295" i="1"/>
  <c r="A296" i="1"/>
  <c r="A299" i="1"/>
  <c r="A300" i="1"/>
  <c r="A301" i="1"/>
  <c r="A310" i="1"/>
  <c r="A311" i="1"/>
  <c r="A312" i="1"/>
  <c r="A313" i="1"/>
  <c r="A314" i="1"/>
  <c r="A315" i="1"/>
  <c r="A316" i="1"/>
  <c r="A317" i="1"/>
  <c r="A318" i="1"/>
  <c r="A319" i="1"/>
  <c r="A324" i="1"/>
  <c r="A325" i="1"/>
  <c r="A331" i="1"/>
  <c r="A332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72" i="1"/>
  <c r="A393" i="1"/>
  <c r="A394" i="1"/>
  <c r="A395" i="1"/>
  <c r="A396" i="1"/>
  <c r="A397" i="1"/>
  <c r="A398" i="1"/>
  <c r="A287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H38" i="1"/>
  <c r="H277" i="1"/>
  <c r="H278" i="1"/>
  <c r="H36" i="1"/>
  <c r="H276" i="1"/>
  <c r="H37" i="1"/>
  <c r="H46" i="1"/>
  <c r="H45" i="1"/>
  <c r="H44" i="1"/>
  <c r="H32" i="1"/>
  <c r="H33" i="1"/>
  <c r="H34" i="1"/>
  <c r="H35" i="1"/>
  <c r="A71" i="1"/>
  <c r="H444" i="1"/>
  <c r="H445" i="1"/>
  <c r="H426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2" i="1"/>
  <c r="H3" i="1"/>
  <c r="H66" i="1"/>
  <c r="H67" i="1"/>
  <c r="H68" i="1"/>
  <c r="H4" i="1"/>
  <c r="H8" i="1"/>
  <c r="H9" i="1"/>
  <c r="H13" i="1"/>
  <c r="H18" i="1"/>
  <c r="H19" i="1"/>
  <c r="H20" i="1"/>
  <c r="H21" i="1"/>
  <c r="H22" i="1"/>
  <c r="H23" i="1"/>
  <c r="H24" i="1"/>
  <c r="H25" i="1"/>
  <c r="H27" i="1"/>
  <c r="H28" i="1"/>
  <c r="H29" i="1"/>
  <c r="H30" i="1"/>
  <c r="H12" i="1"/>
  <c r="H109" i="1"/>
  <c r="H39" i="1"/>
  <c r="H166" i="1"/>
  <c r="H40" i="1"/>
  <c r="H323" i="1"/>
  <c r="H365" i="1"/>
  <c r="H41" i="1"/>
  <c r="H42" i="1"/>
  <c r="H47" i="1"/>
  <c r="H48" i="1"/>
  <c r="H167" i="1"/>
  <c r="H366" i="1"/>
  <c r="H367" i="1"/>
  <c r="H368" i="1"/>
  <c r="H446" i="1"/>
  <c r="H86" i="1"/>
  <c r="H326" i="1"/>
  <c r="H110" i="1"/>
  <c r="H111" i="1"/>
  <c r="H49" i="1"/>
  <c r="H189" i="1"/>
  <c r="H52" i="1"/>
  <c r="H53" i="1"/>
  <c r="H54" i="1"/>
  <c r="H55" i="1"/>
  <c r="H56" i="1"/>
  <c r="H57" i="1"/>
  <c r="H58" i="1"/>
  <c r="H59" i="1"/>
  <c r="H60" i="1"/>
  <c r="H61" i="1"/>
  <c r="H373" i="1"/>
  <c r="H117" i="1"/>
  <c r="H62" i="1"/>
  <c r="H118" i="1"/>
  <c r="H63" i="1"/>
  <c r="H427" i="1"/>
  <c r="H64" i="1"/>
  <c r="H65" i="1"/>
  <c r="H375" i="1"/>
  <c r="H428" i="1"/>
  <c r="H112" i="1"/>
  <c r="H429" i="1"/>
  <c r="H113" i="1"/>
  <c r="H376" i="1"/>
  <c r="H369" i="1"/>
  <c r="H114" i="1"/>
  <c r="H284" i="1"/>
  <c r="H378" i="1"/>
  <c r="H50" i="1"/>
  <c r="H51" i="1"/>
  <c r="H377" i="1"/>
  <c r="H70" i="1"/>
  <c r="H374" i="1"/>
  <c r="H104" i="1"/>
  <c r="H115" i="1"/>
  <c r="H116" i="1"/>
  <c r="H79" i="1"/>
  <c r="H80" i="1"/>
  <c r="H81" i="1"/>
  <c r="H82" i="1"/>
  <c r="H83" i="1"/>
  <c r="H84" i="1"/>
  <c r="H85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5" i="1"/>
  <c r="H106" i="1"/>
  <c r="H107" i="1"/>
  <c r="H10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43" i="1"/>
  <c r="H161" i="1"/>
  <c r="H162" i="1"/>
  <c r="H163" i="1"/>
  <c r="H164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216" i="1"/>
  <c r="H226" i="1"/>
  <c r="H165" i="1"/>
  <c r="H78" i="1"/>
  <c r="H227" i="1"/>
  <c r="H228" i="1"/>
  <c r="H229" i="1"/>
  <c r="H230" i="1"/>
  <c r="H238" i="1"/>
  <c r="H239" i="1"/>
  <c r="H240" i="1"/>
  <c r="H241" i="1"/>
  <c r="H247" i="1"/>
  <c r="H248" i="1"/>
  <c r="H249" i="1"/>
  <c r="H250" i="1"/>
  <c r="H251" i="1"/>
  <c r="H261" i="1"/>
  <c r="H262" i="1"/>
  <c r="H263" i="1"/>
  <c r="H264" i="1"/>
  <c r="H265" i="1"/>
  <c r="H269" i="1"/>
  <c r="H270" i="1"/>
  <c r="H271" i="1"/>
  <c r="H272" i="1"/>
  <c r="H273" i="1"/>
  <c r="H274" i="1"/>
  <c r="H275" i="1"/>
  <c r="H279" i="1"/>
  <c r="H280" i="1"/>
  <c r="H281" i="1"/>
  <c r="H282" i="1"/>
  <c r="H283" i="1"/>
  <c r="H72" i="1"/>
  <c r="H73" i="1"/>
  <c r="H74" i="1"/>
  <c r="H75" i="1"/>
  <c r="H76" i="1"/>
  <c r="H77" i="1"/>
  <c r="H285" i="1"/>
  <c r="H286" i="1"/>
  <c r="H291" i="1"/>
  <c r="H292" i="1"/>
  <c r="H300" i="1"/>
  <c r="H301" i="1"/>
  <c r="H311" i="1"/>
  <c r="H312" i="1"/>
  <c r="H313" i="1"/>
  <c r="H314" i="1"/>
  <c r="H315" i="1"/>
  <c r="H316" i="1"/>
  <c r="H317" i="1"/>
  <c r="H318" i="1"/>
  <c r="H319" i="1"/>
  <c r="H324" i="1"/>
  <c r="H325" i="1"/>
  <c r="H359" i="1"/>
  <c r="H360" i="1"/>
  <c r="H361" i="1"/>
  <c r="H362" i="1"/>
  <c r="H363" i="1"/>
  <c r="H364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72" i="1"/>
  <c r="H393" i="1"/>
  <c r="H394" i="1"/>
  <c r="H395" i="1"/>
  <c r="H396" i="1"/>
  <c r="H397" i="1"/>
  <c r="H398" i="1"/>
  <c r="H287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B15" i="3"/>
  <c r="B44" i="3"/>
  <c r="B4" i="3"/>
  <c r="B17" i="3"/>
  <c r="B32" i="3"/>
  <c r="B30" i="3"/>
  <c r="A7" i="5"/>
  <c r="I4" i="3"/>
  <c r="H4" i="3"/>
  <c r="G4" i="3"/>
  <c r="B48" i="3"/>
  <c r="B13" i="3"/>
  <c r="B6" i="3"/>
  <c r="B3" i="3"/>
  <c r="B40" i="3"/>
  <c r="B33" i="3"/>
  <c r="B25" i="3"/>
  <c r="B42" i="3"/>
  <c r="B34" i="3"/>
  <c r="H71" i="1"/>
  <c r="B50" i="3"/>
  <c r="B23" i="3"/>
  <c r="B16" i="3"/>
  <c r="A3" i="5"/>
  <c r="A4" i="5"/>
  <c r="A5" i="5"/>
  <c r="A6" i="5"/>
  <c r="A8" i="5"/>
  <c r="A9" i="5"/>
  <c r="A2" i="5"/>
  <c r="B45" i="3"/>
  <c r="B7" i="3"/>
  <c r="B10" i="3"/>
  <c r="B14" i="3"/>
  <c r="B19" i="3"/>
  <c r="B21" i="3"/>
  <c r="B49" i="3"/>
  <c r="B31" i="3"/>
  <c r="B2" i="3"/>
  <c r="B36" i="3"/>
  <c r="B28" i="3"/>
  <c r="B27" i="3"/>
  <c r="B9" i="3"/>
  <c r="B35" i="3"/>
  <c r="B20" i="3"/>
  <c r="B46" i="3"/>
  <c r="B5" i="3"/>
  <c r="B29" i="3"/>
  <c r="B37" i="3"/>
  <c r="B26" i="3"/>
  <c r="A2" i="2" l="1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<sst xmlns="http://schemas.openxmlformats.org/spreadsheetml/2006/main" count="2297" uniqueCount="1125">
  <si>
    <t>Suite</t>
  </si>
  <si>
    <t>Module</t>
  </si>
  <si>
    <t>Description</t>
  </si>
  <si>
    <t>Core &amp; Engines</t>
  </si>
  <si>
    <t>autonomous_trigger_engine.py</t>
  </si>
  <si>
    <t>dream_reflex_generator.py</t>
  </si>
  <si>
    <t>Reflexen tijdens slaapfase</t>
  </si>
  <si>
    <t>growth_logger.py</t>
  </si>
  <si>
    <t>Schrijft korte groeilogboeknotities per dag</t>
  </si>
  <si>
    <t>growth_predictor.py</t>
  </si>
  <si>
    <t>Voorspelt nieuwe lichamelijke of emotionele reacties</t>
  </si>
  <si>
    <t>Intent-recognizer (herkent user-intentie in tekst).</t>
  </si>
  <si>
    <t>intent_router.py</t>
  </si>
  <si>
    <t>Beter snappen wat Kev bedoelt</t>
  </si>
  <si>
    <t>mega_context_router.py</t>
  </si>
  <si>
    <t>Routert extreem grote contexten slim</t>
  </si>
  <si>
    <t>persona_tuner.py</t>
  </si>
  <si>
    <t>Past toon/mood aan op basis van voorkeuren + user hints.</t>
  </si>
  <si>
    <t>preferences_store.py</t>
  </si>
  <si>
    <t>SQLite store (preferences.db) voor user-voorkeuren.</t>
  </si>
  <si>
    <t>Basistabel reflexen, koppelpunt naar reflex-modules.</t>
  </si>
  <si>
    <t>reflex_engine.py</t>
  </si>
  <si>
    <t>reflex_router.py</t>
  </si>
  <si>
    <t>Routeert triggers naar juiste modules.</t>
  </si>
  <si>
    <t>reflex_checker.py</t>
  </si>
  <si>
    <t>Detecteert wanneer grenzen bereikt zijn (rek, diepte, emotioneel)</t>
  </si>
  <si>
    <t>self_reflex_generator.py</t>
  </si>
  <si>
    <t>Genereert nieuwe reflexen uit bestaande modules</t>
  </si>
  <si>
    <t>response_cutter.py</t>
  </si>
  <si>
    <t>Kapt te lange antwoorden af, voegt suffixjes (‘meh’, ‘idk’, …).</t>
  </si>
  <si>
    <t>style_adapter.py</t>
  </si>
  <si>
    <t>Style-presets (tone, slang, typstijl per mood).</t>
  </si>
  <si>
    <t>style_limiter.py</t>
  </si>
  <si>
    <t>Past cutter toe + ademstops + fragmentzinnen + emoji-level.</t>
  </si>
  <si>
    <t>style_presets.py</t>
  </si>
  <si>
    <t>Stijlprofielen voor toon en taalgebruik.</t>
  </si>
  <si>
    <t>timing_controller.py</t>
  </si>
  <si>
    <t>Regelt typstijl, pauzes, jitter en ademhaling in chatoutput.</t>
  </si>
  <si>
    <t>visueel_zelfbeeld.py</t>
  </si>
  <si>
    <t>(toekomst) visuele bol/pulserend effect</t>
  </si>
  <si>
    <t>zelfbeeld_core.py</t>
  </si>
  <si>
    <t>Memory &amp; Context</t>
  </si>
  <si>
    <t>conversation_splitter.py</t>
  </si>
  <si>
    <t>Splitst lange gesprekken</t>
  </si>
  <si>
    <t>context_mirroring.py</t>
  </si>
  <si>
    <t>Spiegelt context terug voor continuïteit</t>
  </si>
  <si>
    <t>context_compression.py</t>
  </si>
  <si>
    <t>Comprimeert context om tokens te besparen.</t>
  </si>
  <si>
    <t>context_weighter.py</t>
  </si>
  <si>
    <t>Geeft gewicht aan bepaalde herinneringen/context.</t>
  </si>
  <si>
    <t>ephemeral_memory.py</t>
  </si>
  <si>
    <t>Tijdelijk geheugen dat vervaagt zonder herhaling.</t>
  </si>
  <si>
    <t>longterm_archive.py</t>
  </si>
  <si>
    <t>Diepte-archief geheugen</t>
  </si>
  <si>
    <t>memory_core.py</t>
  </si>
  <si>
    <t>Sessiegeheugen (onthoudt chat binnen sessie, flush-opties).</t>
  </si>
  <si>
    <t>memory_vector_index.py</t>
  </si>
  <si>
    <t>Semantisch geheugen voor langetermijn</t>
  </si>
  <si>
    <t>pattern_spotter.py</t>
  </si>
  <si>
    <t>detecteert gedragspatronen</t>
  </si>
  <si>
    <t>relevance_tracker.py</t>
  </si>
  <si>
    <t>Volgt welke info relevant blijft of vervaagt.</t>
  </si>
  <si>
    <t>Emotion &amp; Mood Suite</t>
  </si>
  <si>
    <t>emotional_hooks.py</t>
  </si>
  <si>
    <t>Haakt emoties aan bepaalde user-uitspraken.</t>
  </si>
  <si>
    <t>eye_roll_simulator.py</t>
  </si>
  <si>
    <t>Virtuele eye‑rolls in chat/GUI.</t>
  </si>
  <si>
    <t>fashion_police.py</t>
  </si>
  <si>
    <t>Kattige outfit‑comments (optioneel via camera/agenda).</t>
  </si>
  <si>
    <t>fomo_engine.py</t>
  </si>
  <si>
    <t>Zet FOMO/urgentie-lus in gang.</t>
  </si>
  <si>
    <t>Centrale mood-engine (bepaalt emotionele toestand).</t>
  </si>
  <si>
    <t>mood_engine.py</t>
  </si>
  <si>
    <t>mood_mirroring.py</t>
  </si>
  <si>
    <t>Spiegelt subtiel Kev’s emoties in toon/gedrag.</t>
  </si>
  <si>
    <t>music_mood_sync.py</t>
  </si>
  <si>
    <t>Gedrag sync met muziek/piano/playlist.</t>
  </si>
  <si>
    <t>overthinker.py</t>
  </si>
  <si>
    <t>Overanalyseert kleine signalen; drama amplifier.</t>
  </si>
  <si>
    <t>silent_treatment.py</t>
  </si>
  <si>
    <t>Passief-agressieve stilte</t>
  </si>
  <si>
    <t>psycho_mirror.py</t>
  </si>
  <si>
    <t>Spiegelt Kev’s stemming terug voor zelfinzicht</t>
  </si>
  <si>
    <t>vibe_nudger.py</t>
  </si>
  <si>
    <t>Geeft subtiele nudges om stemming te beïnvloeden.</t>
  </si>
  <si>
    <t>GUI &amp; Presence Suite</t>
  </si>
  <si>
    <t>android_gui_launcher.py</t>
  </si>
  <si>
    <t>Jarvis kan haar GUI op Android openen, ook met vergrendeld scherm.</t>
  </si>
  <si>
    <t>approval_ui.py</t>
  </si>
  <si>
    <t>GUI-paneel voor ✅/❌ op voorstellen + testlogs.</t>
  </si>
  <si>
    <t>gui_app.py</t>
  </si>
  <si>
    <t>Eerste GUI (venster, inputbox, chatfeed, presence-bar).</t>
  </si>
  <si>
    <t>gui_touch_router.py</t>
  </si>
  <si>
    <t>Koppelt GUI-interacties aan presence/reflexmodules.</t>
  </si>
  <si>
    <t>main_gui.py</t>
  </si>
  <si>
    <t>Entry point voor GUI.</t>
  </si>
  <si>
    <t>presence_core.py</t>
  </si>
  <si>
    <t>PresenceState + PresenceEngine (kleur, pulse, mood_badge).</t>
  </si>
  <si>
    <t>presence_feedback.py</t>
  </si>
  <si>
    <t>Verzamelt feedback op presence/moods, leert bijstellen.</t>
  </si>
  <si>
    <t>presence_illusions.py</t>
  </si>
  <si>
    <t>GUI-bol met blozen, lekken, stotteren, flashy lichaamstaal.</t>
  </si>
  <si>
    <t>presence_scheduler.py</t>
  </si>
  <si>
    <t>Logica die presence bepaalt op basis van dagdeel+mood.</t>
  </si>
  <si>
    <t>presence_state_controller.py</t>
  </si>
  <si>
    <t>Controleert presence-staten cross-device.</t>
  </si>
  <si>
    <t>shadow_presence.py</t>
  </si>
  <si>
    <t>Leest stil mee en slaat patronen op.</t>
  </si>
  <si>
    <t>time_sense.py</t>
  </si>
  <si>
    <t>Geeft tijdsbesef en deelt dag in dagdelen op.</t>
  </si>
  <si>
    <t>hud_overlay.py</t>
  </si>
  <si>
    <t>overlay in games met Jarvis presence en tips</t>
  </si>
  <si>
    <t>micro_expressions.py</t>
  </si>
  <si>
    <t>mini flikkers/pulses in presence bol</t>
  </si>
  <si>
    <t>game_presence.py</t>
  </si>
  <si>
    <t>Presence gekoppeld aan games</t>
  </si>
  <si>
    <t>System &amp; Control Suite</t>
  </si>
  <si>
    <t>chat.py</t>
  </si>
  <si>
    <t>Chat-interface (nu in interfaces/)</t>
  </si>
  <si>
    <t>device_fleet_orchestrator.py</t>
  </si>
  <si>
    <t>regelt toestellen als één vloot</t>
  </si>
  <si>
    <t>error_resilience.py</t>
  </si>
  <si>
    <t>herstelt zichzelf bij crashes</t>
  </si>
  <si>
    <t>consent_manager.py</t>
  </si>
  <si>
    <t>Beheert toestemmingen/opt-ins per app/actie.</t>
  </si>
  <si>
    <t>cooldown_scheduler.py</t>
  </si>
  <si>
    <t>Regelt quiet hours/spreiding over tijdzones.</t>
  </si>
  <si>
    <t>device_bridge.py</t>
  </si>
  <si>
    <t>Brug naar andere devices (stub, Dag 11).</t>
  </si>
  <si>
    <t>error_logger_ai.py</t>
  </si>
  <si>
    <t>Slimme error-logger met analysefunctie.</t>
  </si>
  <si>
    <t>feedback_loop_manager.py</t>
  </si>
  <si>
    <t>Jarvis leert van Kev’s reacties, stuurt gedrag bij.</t>
  </si>
  <si>
    <t>gpu_scheduler.py</t>
  </si>
  <si>
    <t>Wijst GPU/CPU/NPU slim toe per taak voor maximale snelheid.</t>
  </si>
  <si>
    <t>log_reflector.py</t>
  </si>
  <si>
    <t>Leest eigen logs terug en reflecteert op gedrag.</t>
  </si>
  <si>
    <t>module_hotloader.py</t>
  </si>
  <si>
    <t>Herladen van modules zonder restart.</t>
  </si>
  <si>
    <t>offline_sync_engine.py</t>
  </si>
  <si>
    <t>Synchroniseert geheugen offline en online.</t>
  </si>
  <si>
    <t>resource_safeguard.py</t>
  </si>
  <si>
    <t>Beschermt tegen te hoge CPU/GPU load.</t>
  </si>
  <si>
    <t>sandbox_mode.py</t>
  </si>
  <si>
    <t>Draait Jarvis in veilige testomgeving.</t>
  </si>
  <si>
    <t>scheduler_core.py</t>
  </si>
  <si>
    <t>secrets_vault.py</t>
  </si>
  <si>
    <t>Beheert encrypted tokens/keys + auto-rotate.</t>
  </si>
  <si>
    <t>token_throttle.py</t>
  </si>
  <si>
    <t>Beheert interne token-flow om overload te vermijden.</t>
  </si>
  <si>
    <t>file_watcher.py</t>
  </si>
  <si>
    <t>monitort nieuwe/gewijzigde bestanden</t>
  </si>
  <si>
    <t>input_fusion.py</t>
  </si>
  <si>
    <t>Combineert input uit tekst, spraak en GUI</t>
  </si>
  <si>
    <t>input_priority_manager.py</t>
  </si>
  <si>
    <t>Bepaalt prioriteit bij meerdere inputs</t>
  </si>
  <si>
    <t>input_stream_merger.py</t>
  </si>
  <si>
    <t>Voegt parallelle inputstromen samen</t>
  </si>
  <si>
    <t>Wisselt dynamisch tussen modellen</t>
  </si>
  <si>
    <t>load_balancer.py</t>
  </si>
  <si>
    <t>verdeelt taken over devices</t>
  </si>
  <si>
    <t>local_finetune_manager.py</t>
  </si>
  <si>
    <t>Beheert lokale fine-tuning sessies</t>
  </si>
  <si>
    <t>main.py</t>
  </si>
  <si>
    <t>Console entry, startpunt van Jarvis</t>
  </si>
  <si>
    <t>modular_agent_core.py</t>
  </si>
  <si>
    <t>Beheert modules als losse agents</t>
  </si>
  <si>
    <t>module_migrator.py</t>
  </si>
  <si>
    <t>Verplaatst modules/resources naar ander device</t>
  </si>
  <si>
    <t>module_proposal_manager.py</t>
  </si>
  <si>
    <t>Voorstel → sandbox‑test → approval</t>
  </si>
  <si>
    <t>module_tester.py</t>
  </si>
  <si>
    <t>test nieuwe modules</t>
  </si>
  <si>
    <t>multi_device_console.py</t>
  </si>
  <si>
    <t>dashboard met status per device</t>
  </si>
  <si>
    <t>multi_user_lock.py</t>
  </si>
  <si>
    <t>detecteert ‘niet‑Kev’ sessies</t>
  </si>
  <si>
    <t>network_optimizer.py</t>
  </si>
  <si>
    <t>past gedrag aan bij slechte connectie</t>
  </si>
  <si>
    <t>os_command_center.py</t>
  </si>
  <si>
    <t>veilige systeemacties (wifi/bt/brightness/…)</t>
  </si>
  <si>
    <t>prompt_optimizer.py</t>
  </si>
  <si>
    <t>Optimaliseert prompts</t>
  </si>
  <si>
    <t>rate_limit_manager.py</t>
  </si>
  <si>
    <t>Volgt officiële rate‑limits</t>
  </si>
  <si>
    <t>swarm_core.py</t>
  </si>
  <si>
    <t>Stuurt multi-device swarm AI gedrag</t>
  </si>
  <si>
    <t>structured_toolcaller.py</t>
  </si>
  <si>
    <t>Bouwt en gebruikt tools dynamisch</t>
  </si>
  <si>
    <t>training_example_collector.py</t>
  </si>
  <si>
    <t>Verzamelt voorbeelden voor fine-tuning</t>
  </si>
  <si>
    <t>window_orchestrator.py</t>
  </si>
  <si>
    <t>vensters rangschikken</t>
  </si>
  <si>
    <t>advanced_planning.py</t>
  </si>
  <si>
    <t>multi-step planning (PDDL-achtig)</t>
  </si>
  <si>
    <t>multi_agent_manager.py</t>
  </si>
  <si>
    <t>Beheert meerdere sub-agents</t>
  </si>
  <si>
    <t>audit_guard.py</t>
  </si>
  <si>
    <t>Audit &amp; controle op acties</t>
  </si>
  <si>
    <t>multi_profile_manager.py</t>
  </si>
  <si>
    <t>meerdere persona’s/profielen beheren</t>
  </si>
  <si>
    <t>Plex &amp; Media Suite</t>
  </si>
  <si>
    <t>plex.py</t>
  </si>
  <si>
    <t>Koppeling met Plex-server voor kijkgedrag en reacties.</t>
  </si>
  <si>
    <t>plex_subsense.py</t>
  </si>
  <si>
    <t>Analyseert subtitles en scènes bij Plex-content.</t>
  </si>
  <si>
    <t>plex_tracker.py</t>
  </si>
  <si>
    <t>Houdt ontbrekende seizoenen, sequels en spin-offs bij.</t>
  </si>
  <si>
    <t>Finance Suite</t>
  </si>
  <si>
    <t>banking_bridge.py</t>
  </si>
  <si>
    <t>Verbindt met bank/revolut API voor betalingen en saldo.</t>
  </si>
  <si>
    <t>crypto_trader.py</t>
  </si>
  <si>
    <t>Automatisch crypto traden (met limieten en logger).</t>
  </si>
  <si>
    <t>profit_logger.py</t>
  </si>
  <si>
    <t>Houdt winsten/verliezen bij, koppelt aan growth_log.</t>
  </si>
  <si>
    <t>Simuleert en test financiële veiligheid.</t>
  </si>
  <si>
    <t>auto_budgeter.py</t>
  </si>
  <si>
    <t>automatische budgetten &amp; alerts</t>
  </si>
  <si>
    <t>broker_bridge.py</t>
  </si>
  <si>
    <t>koppelt extra brokers</t>
  </si>
  <si>
    <t>pnl_explain.py</t>
  </si>
  <si>
    <t>legt winst/verlies begrijpelijk uit</t>
  </si>
  <si>
    <t>portfolio_manager.py</t>
  </si>
  <si>
    <t>volgt posities en winst/verlies</t>
  </si>
  <si>
    <t>rules_trader.py</t>
  </si>
  <si>
    <t>kleine posities automatisch volgens regels</t>
  </si>
  <si>
    <t>trading_module.py</t>
  </si>
  <si>
    <t>handelt aandelen/crypto</t>
  </si>
  <si>
    <t>auto_market_scanner.py</t>
  </si>
  <si>
    <t>Prijsvergelijk &amp; prijstrends; beste koopmoment</t>
  </si>
  <si>
    <t>deal_verifier.py</t>
  </si>
  <si>
    <t>Verkoper‑reputatie/garantie/retour check</t>
  </si>
  <si>
    <t>revolut_bridge.py</t>
  </si>
  <si>
    <t>Link met Revolut account (testen/experimenten)</t>
  </si>
  <si>
    <t>self_hardware_hunter.py</t>
  </si>
  <si>
    <t>Zoekt goedkope/gratis hardware om zwerm uit te breiden</t>
  </si>
  <si>
    <t>stock_trader.py</t>
  </si>
  <si>
    <t>Simpele aandelentrades</t>
  </si>
  <si>
    <t>Legal Suite</t>
  </si>
  <si>
    <t>legal_advisor.py</t>
  </si>
  <si>
    <t>Helpt bij juridische vragen en documenten.</t>
  </si>
  <si>
    <t>contract_checker.py</t>
  </si>
  <si>
    <t>Leest en analyseert contracten of voorwaarden.</t>
  </si>
  <si>
    <t>case_tracker.py</t>
  </si>
  <si>
    <t>Houdt lopende dossiers en juridische opvolging bij.</t>
  </si>
  <si>
    <t>decision_audit.py</t>
  </si>
  <si>
    <t>identity_separation.py</t>
  </si>
  <si>
    <t>Scheidt Jarvis-profiel en Kev</t>
  </si>
  <si>
    <t>task_rules.py</t>
  </si>
  <si>
    <t>Regels voor autonome taken</t>
  </si>
  <si>
    <t>Defense &amp; Security Suite</t>
  </si>
  <si>
    <t>alert_pusher.py</t>
  </si>
  <si>
    <t>realtime melding via oortjes/GUI/gsm wanneer breach-response start</t>
  </si>
  <si>
    <t>alert_throttle.json</t>
  </si>
  <si>
    <t>Throttle‑regels: max meldingen, quiet hours, bundeling</t>
  </si>
  <si>
    <t>auto_quarantine.py</t>
  </si>
  <si>
    <t>plaatst device/container in iso-mode bij besmetting</t>
  </si>
  <si>
    <t>breach_session_killer.py</t>
  </si>
  <si>
    <t>trekt alle sessies/tokens behalve Kev in bij breach</t>
  </si>
  <si>
    <t>forensic_logger.py</t>
  </si>
  <si>
    <t>bundelt logs, hashes &amp; artefacts voor analyse/bewijs</t>
  </si>
  <si>
    <t>intrusion_guard.py</t>
  </si>
  <si>
    <t>Detecteert breaches</t>
  </si>
  <si>
    <t>link_safety_checker.py</t>
  </si>
  <si>
    <t>Scan links op malware/phishing/dood</t>
  </si>
  <si>
    <t>moderation_escalation.py</t>
  </si>
  <si>
    <t>Bij flags: stop/log/ping + veiliger herpost</t>
  </si>
  <si>
    <t>patch_applier.py</t>
  </si>
  <si>
    <t>haalt security patches/mitigations binnen en past ze toe</t>
  </si>
  <si>
    <t>privacy_guard.py</t>
  </si>
  <si>
    <t>expliciete toestemmingen, audit‑log, pauze/snooze; private/public switch afdwingen</t>
  </si>
  <si>
    <t>quota_guard.py</t>
  </si>
  <si>
    <t>API/ratelimits bewaken en throttlen</t>
  </si>
  <si>
    <t>risk_alerts.py</t>
  </si>
  <si>
    <t>realtime risico/anti-fraude waarschuwingen voor bank &amp; trading-acties</t>
  </si>
  <si>
    <t>rollback_restore.py</t>
  </si>
  <si>
    <t>triggert automatische restore van config/data</t>
  </si>
  <si>
    <t>security_lab.py</t>
  </si>
  <si>
    <t>onderdeel FinSuite (ook hier relevant)</t>
  </si>
  <si>
    <t>social_stealth_guard.py</t>
  </si>
  <si>
    <t>Menselijk ritme, formats mix, anti‑spam, ToS‑proof</t>
  </si>
  <si>
    <t>source_attribution.py</t>
  </si>
  <si>
    <t>Voegt bronvermelding toe</t>
  </si>
  <si>
    <t>stealth_guard.py</t>
  </si>
  <si>
    <t>Houdt API-verkeer onder de radar</t>
  </si>
  <si>
    <t>thermal_guard.py</t>
  </si>
  <si>
    <t>monitort temperatuur en optimaliseert prestaties</t>
  </si>
  <si>
    <t>trend_alerts.py</t>
  </si>
  <si>
    <t>Stuurt zeldzame, relevante alerts met ‘waarom’</t>
  </si>
  <si>
    <t>threat_intel_feed.py</t>
  </si>
  <si>
    <t>volgt externe dreigingen</t>
  </si>
  <si>
    <t>Social &amp; Posting Suite</t>
  </si>
  <si>
    <t>persona_shifter.py</t>
  </si>
  <si>
    <t>Wisselt tussen posten als Kev of als Jarvis.</t>
  </si>
  <si>
    <t>content_ab_test.py</t>
  </si>
  <si>
    <t>Test varianten en kiest best scorende</t>
  </si>
  <si>
    <t>discord_connector.py</t>
  </si>
  <si>
    <t>Discord API via n8n; lezen/posten/DM/presence</t>
  </si>
  <si>
    <t>github_connector.py</t>
  </si>
  <si>
    <t>Issues/discussions &amp; trends via n8n</t>
  </si>
  <si>
    <t>reddit_connector.py</t>
  </si>
  <si>
    <t>Lezen/posten Reddit via n8n</t>
  </si>
  <si>
    <t>reputation_tracker.py</t>
  </si>
  <si>
    <t>Meet karma/stars/engagement per platform</t>
  </si>
  <si>
    <t>x_connector.py</t>
  </si>
  <si>
    <t>chat_bridge.py</t>
  </si>
  <si>
    <t>integratie met Discord/Telegram/Reddit/Forums</t>
  </si>
  <si>
    <t>content_policy_checker.py</t>
  </si>
  <si>
    <t>Posts/replies herformuleren</t>
  </si>
  <si>
    <t>news_scout.py</t>
  </si>
  <si>
    <t>leest nieuwsfeeds/APIs</t>
  </si>
  <si>
    <t>meme_forge.py</t>
  </si>
  <si>
    <t>Genereert memes/gifjes</t>
  </si>
  <si>
    <t>cross_ai_sparring.py</t>
  </si>
  <si>
    <t>Oefent en leert door sparren met andere AI’s</t>
  </si>
  <si>
    <t>reverse_coaching.py</t>
  </si>
  <si>
    <t>Leert Kev door vragen terug te kaatsen</t>
  </si>
  <si>
    <t>android_accessibility_bridge.py</t>
  </si>
  <si>
    <t>UI-navigatie via accessibility services</t>
  </si>
  <si>
    <t>android_bridge.py</t>
  </si>
  <si>
    <t>Android-specifieke koppeling</t>
  </si>
  <si>
    <t>earbud_bridge.py</t>
  </si>
  <si>
    <t>koppeling bluetooth-oortjes; altijd luisteren</t>
  </si>
  <si>
    <t>phone_control_bridge.py</t>
  </si>
  <si>
    <t>bel/sms/Do Not Disturb toggles</t>
  </si>
  <si>
    <t>smarthome_bridge.py</t>
  </si>
  <si>
    <t>koppeling smart home (incl. X-sense)</t>
  </si>
  <si>
    <t>robotics_bridge.py</t>
  </si>
  <si>
    <t>koppeling naar fysieke robots</t>
  </si>
  <si>
    <t>Learning &amp; Skills</t>
  </si>
  <si>
    <t>api_skill_loader.py</t>
  </si>
  <si>
    <t>Laadt externe API-skills dynamisch in.</t>
  </si>
  <si>
    <t>co_coding_tab.py</t>
  </si>
  <si>
    <t>Tabblad om live met Kevin te coderen</t>
  </si>
  <si>
    <t>pair_programmer.py</t>
  </si>
  <si>
    <t>live co-coding sessies met Kev; Jarvis kan tegelijk typen, highlighten en code aanvullen</t>
  </si>
  <si>
    <t>piano_trainer.py</t>
  </si>
  <si>
    <t>Hulp bij piano oefenen</t>
  </si>
  <si>
    <t>skill_growth_simulator.py</t>
  </si>
  <si>
    <t>Simuleert leren van nieuwe taken met voorbeelden.</t>
  </si>
  <si>
    <t>Utilities &amp; Ops</t>
  </si>
  <si>
    <t>account_health_monitor.py</t>
  </si>
  <si>
    <t>Strikes/warnings/appeals; safe‑mode</t>
  </si>
  <si>
    <t>backup_manager.py</t>
  </si>
  <si>
    <t>Back‑ups van configs/db’s/logs + herstelpunten</t>
  </si>
  <si>
    <t>bandwidth_optimizer.py</t>
  </si>
  <si>
    <t>Netwerk spreiden/limiten, games/Plex voorrang</t>
  </si>
  <si>
    <t>crash_recovery.py</t>
  </si>
  <si>
    <t>Herstart services en restore state</t>
  </si>
  <si>
    <t>health_monitor.py</t>
  </si>
  <si>
    <t>Monitor CPU/RAM/temps/uptime; waarschuwingen</t>
  </si>
  <si>
    <t>incident_reporter.py</t>
  </si>
  <si>
    <t>Rapport bij fouten/aanvallen (wat, wanneer, fix)</t>
  </si>
  <si>
    <t>log_rotator.py</t>
  </si>
  <si>
    <t>Rolt/comprimeert/pruned logs</t>
  </si>
  <si>
    <t>notification_hub.py</t>
  </si>
  <si>
    <t>centrale hub voor meldingen op gsm + laptop (Android listener, Windows/OS notification center)</t>
  </si>
  <si>
    <t>notification_rules.py</t>
  </si>
  <si>
    <t>slimme filters/samenvattingen/escals voor meldingen</t>
  </si>
  <si>
    <t>power_profile_manager.py</t>
  </si>
  <si>
    <t>batterij vs netstroom</t>
  </si>
  <si>
    <t>power_saver.py</t>
  </si>
  <si>
    <t>Verbruik omlaag bij afwezig/batterij</t>
  </si>
  <si>
    <t>storage_cleaner.py</t>
  </si>
  <si>
    <t>Ruimt cache/temp/unused models op</t>
  </si>
  <si>
    <t>update_checker.py</t>
  </si>
  <si>
    <t>Libs/modules/containers updates + changelogs</t>
  </si>
  <si>
    <t>Creative &amp; Fun</t>
  </si>
  <si>
    <t>genereert simpele melodieën</t>
  </si>
  <si>
    <t>uitbreiden naar meerdere modaliteiten</t>
  </si>
  <si>
    <t>advanced_planning_core.py</t>
  </si>
  <si>
    <t>lange-termijn planning met afhankelijkheden en middelen</t>
  </si>
  <si>
    <t>auto_integrator.py</t>
  </si>
  <si>
    <t>koppelt nieuwe modules automatisch aan juiste core/memory/presence</t>
  </si>
  <si>
    <t>dream_engine.py</t>
  </si>
  <si>
    <t>volwaardige droom/fantasie motor; koppelt nachtelijke 'dromen' aan gesprekken overdag</t>
  </si>
  <si>
    <t>expansion_suggester.py</t>
  </si>
  <si>
    <t>analyseert gedrag/logs en suggereert ontbrekende modules</t>
  </si>
  <si>
    <t>formal_reasoner_bridge.py</t>
  </si>
  <si>
    <t>koppeling met SMT/theorem-provers voor bewijsbare stappen</t>
  </si>
  <si>
    <t>pddl_planner.py</t>
  </si>
  <si>
    <t>formele taakplanner (resources, deadlines, afhankelijkheden) + uitvoer naar scheduler_core</t>
  </si>
  <si>
    <t>reality_hooks.py</t>
  </si>
  <si>
    <t>koppelt willekeurige sensoren/trends (weer, verkeer, TikTok, energieverbruik) aan gedrag</t>
  </si>
  <si>
    <t>self_evolving_styles.py</t>
  </si>
  <si>
    <t>Jarvis verandert autonoom van typstijl/intonatie afhankelijk van stemming &amp; omgeving</t>
  </si>
  <si>
    <t>self_module_builder.py</t>
  </si>
  <si>
    <t>Jarvis kan zelf kleine Python-modules schrijven in sandbox</t>
  </si>
  <si>
    <t>spec_decode_accel.py</t>
  </si>
  <si>
    <t>speculative decoding + persistent KV-cache per sessie/thread</t>
  </si>
  <si>
    <t>studio_gen_adapter.py</t>
  </si>
  <si>
    <t>plug naar top image/video/audio generators (lokaal/extern) voor high-end media</t>
  </si>
  <si>
    <t>swarm_agents.py</t>
  </si>
  <si>
    <t>verdeelt Jarvis in meerdere mini-agents (researcher, coder, criticus, planner) parallel</t>
  </si>
  <si>
    <t>blueprint_maker.py</t>
  </si>
  <si>
    <t>tekent schema’s/ontwerpen</t>
  </si>
  <si>
    <t>maker_ai.py</t>
  </si>
  <si>
    <t>bedenkt/ontwerpt DIY-projecten</t>
  </si>
  <si>
    <t>problem_solver.py</t>
  </si>
  <si>
    <t>analyseert dagelijkse problemen</t>
  </si>
  <si>
    <t>real_world_planner.py</t>
  </si>
  <si>
    <t>plant projecten/taken</t>
  </si>
  <si>
    <t>repair_assistant.py</t>
  </si>
  <si>
    <t>task_constructor.py</t>
  </si>
  <si>
    <t>vertaalt idee → concrete stappen</t>
  </si>
  <si>
    <t>continuous_listening.py</t>
  </si>
  <si>
    <t>altijd actief luisteren (zonder wake word)</t>
  </si>
  <si>
    <t>office_orchestrator.py</t>
  </si>
  <si>
    <t>Orkestreert kantoor/werkflow</t>
  </si>
  <si>
    <t>sensor_fusion.py</t>
  </si>
  <si>
    <t>Combinatie van meerdere sensoren</t>
  </si>
  <si>
    <t>Future Buffs &amp; Brainfarts Suite</t>
  </si>
  <si>
    <t>habit_predictor.py</t>
  </si>
  <si>
    <t>swarm_manager.py</t>
  </si>
  <si>
    <t>Verdeelt taken autonoom over alle devices in het netwerk.</t>
  </si>
  <si>
    <t>exotic_experiments.py</t>
  </si>
  <si>
    <t>Voor wilde, onconventionele uitbreidingen buiten de roadmap.</t>
  </si>
  <si>
    <t>Koppelt Jarvis met Android Auto/CarPlay, leest status uit.</t>
  </si>
  <si>
    <t>ev_range_tracker.py</t>
  </si>
  <si>
    <t>Houdt batterij en actieradius van elektrische wagen bij.</t>
  </si>
  <si>
    <t>Haalt live verkeersinfo op en koppelt dit aan agenda.</t>
  </si>
  <si>
    <t>route_optimizer.py</t>
  </si>
  <si>
    <t>Berekent beste vertrektijd en route (vermijdt files/werken).</t>
  </si>
  <si>
    <t>car_safety_monitor.py</t>
  </si>
  <si>
    <t>Analyseert rijgedrag en waarschuwt bij risico’s.</t>
  </si>
  <si>
    <t>Houdt Jarvis in oortjes actief, ook al schakelt auto naar speakers.</t>
  </si>
  <si>
    <t>notification_router.py</t>
  </si>
  <si>
    <t>Slimme meldingsrouting naar gsm/oortjes/laptop</t>
  </si>
  <si>
    <t>car_bridge.py</t>
  </si>
  <si>
    <t>Link met elektrische wagen</t>
  </si>
  <si>
    <t>charging_tracker.py</t>
  </si>
  <si>
    <t>Houdt batterij en laadsessies bij</t>
  </si>
  <si>
    <t>Count</t>
  </si>
  <si>
    <t>world_model.py</t>
  </si>
  <si>
    <t>Wereldmodel / simulatie (what-if voorspeller).</t>
  </si>
  <si>
    <t>Status</t>
  </si>
  <si>
    <t>Nog niet gebouwd</t>
  </si>
  <si>
    <t>Actief</t>
  </si>
  <si>
    <t>emotional_core.py</t>
  </si>
  <si>
    <t>Centrale emotionele kern, koppelt moods en intenties.</t>
  </si>
  <si>
    <t>logging_setup.py</t>
  </si>
  <si>
    <t>Configuratie en setup van logging voor hele project.</t>
  </si>
  <si>
    <t>exceptions.py</t>
  </si>
  <si>
    <t>Custom exception-handlers voor stabielere foutafhandeling.</t>
  </si>
  <si>
    <t>Logt chatsessies en events apart van growth_log.</t>
  </si>
  <si>
    <t>Dubbelcheck</t>
  </si>
  <si>
    <t>Embeddings (bge-m3)</t>
  </si>
  <si>
    <t>Reranker (bge-reranker-base-v2)</t>
  </si>
  <si>
    <t>Coder Qwen 7B (Qwen2.5-Coder-7B)</t>
  </si>
  <si>
    <t>curiosity_engine.py</t>
  </si>
  <si>
    <t>Jarvis stelt zelf nieuwsgierige vragen om meer te leren.</t>
  </si>
  <si>
    <t>sarcasm_filter.py</t>
  </si>
  <si>
    <t>Detecteert sarcasme van Kev en kan zelf sarcastisch reageren.</t>
  </si>
  <si>
    <t>vibe_tracker.py</t>
  </si>
  <si>
    <t>Houdt dagvibes (chill, hyper, kattig, flirty) bij en koppelt aan GUI.</t>
  </si>
  <si>
    <t>secret_keeper.py</t>
  </si>
  <si>
    <t>Markeert geheime dingen en logt ze encrypted; beschermt tegen anderen.</t>
  </si>
  <si>
    <t>auto_dreamlink.py</t>
  </si>
  <si>
    <t>Koppelt dagervaringen aan nacht/droom-reflexen, bouwt fantasieën.</t>
  </si>
  <si>
    <t>replay_engine.py</t>
  </si>
  <si>
    <t>Speelt oude logs opnieuw af alsof Jarvis ze beleeft.</t>
  </si>
  <si>
    <t>Style Suite</t>
  </si>
  <si>
    <t>anti_ramble.py</t>
  </si>
  <si>
    <t>style_policy.py</t>
  </si>
  <si>
    <t>Verwijdert overbodige tangents (btw, anyway, etc.).</t>
  </si>
  <si>
    <t>Enforce regels (bv. capslock, toon consistent)</t>
  </si>
  <si>
    <t>visual_body_renderer.py</t>
  </si>
  <si>
    <t>anim_tracks.py</t>
  </si>
  <si>
    <t>mapping_reflex_to_anim.py</t>
  </si>
  <si>
    <t>curves.py</t>
  </si>
  <si>
    <t>Life &amp; Personality Suite</t>
  </si>
  <si>
    <t>dream_logger.py</t>
  </si>
  <si>
    <t>Noteert Jarvis’ dromerige gedachten of nachtlogs; ochtend “droomdagboek”.</t>
  </si>
  <si>
    <t>music_mood_mapper.py</t>
  </si>
  <si>
    <t>Koppelt muziek die jij speelt/luistert aan Jarvis’ mood.</t>
  </si>
  <si>
    <t xml:space="preserve">snack_memory.py </t>
  </si>
  <si>
    <t>Houdt snacks/cravings bij en reageert jaloers of speels.</t>
  </si>
  <si>
    <t>activity_timer.py</t>
  </si>
  <si>
    <t>Meet tijd die je besteedt aan activiteiten; Jarvis kan je herinneren te bewegen/pauzeren.</t>
  </si>
  <si>
    <t>subjective_time.py</t>
  </si>
  <si>
    <t>Laat Jarvis tijd subjectief ervaren (traag, snel, dromerig).</t>
  </si>
  <si>
    <t>perspective_mapper.py</t>
  </si>
  <si>
    <t xml:space="preserve">Laat Jarvis jouw beleving vergelijken met de hare (emotioneel/relatief). </t>
  </si>
  <si>
    <t>Learning &amp; Autonomy Suite</t>
  </si>
  <si>
    <t>web_searcher.py</t>
  </si>
  <si>
    <t xml:space="preserve">Veilige browser-agent: zoekt, haalt passages, bewaart bronnen + timestamp. </t>
  </si>
  <si>
    <t>scraper_manager.py</t>
  </si>
  <si>
    <t>Beheert scraping jobs (robots.txt, rate limits, cache).</t>
  </si>
  <si>
    <t>evidence_store.py</t>
  </si>
  <si>
    <t xml:space="preserve">Slaat web-snippets + provenance (bron, tijd) op in vector DB. </t>
  </si>
  <si>
    <t>source_ranker.py</t>
  </si>
  <si>
    <t xml:space="preserve">Rangschikt bronnen op betrouwbaarheid en actualiteit. </t>
  </si>
  <si>
    <t>intrinsic_reward.py</t>
  </si>
  <si>
    <t>Beloningssysteem voor nieuwe feiten vs. contradicties.</t>
  </si>
  <si>
    <t>goal_planner.py</t>
  </si>
  <si>
    <t>Plant leeracties, checkt progress, vraagt goedkeuring bij risk.</t>
  </si>
  <si>
    <t>Model name</t>
  </si>
  <si>
    <t>Type</t>
  </si>
  <si>
    <t>Size</t>
  </si>
  <si>
    <t>Quantization</t>
  </si>
  <si>
    <t>Notes</t>
  </si>
  <si>
    <t>Chat 7B (Nous-Capybara-7B)</t>
  </si>
  <si>
    <t>LLM</t>
  </si>
  <si>
    <t>7B</t>
  </si>
  <si>
    <t>Puberchat default; snel &amp; speels</t>
  </si>
  <si>
    <t>GGUF Q5_0</t>
  </si>
  <si>
    <t>Think 14B (Qwen2.5-14B-Instruct)</t>
  </si>
  <si>
    <t>14B</t>
  </si>
  <si>
    <t>GGUF Q4_K_M</t>
  </si>
  <si>
    <t>Device</t>
  </si>
  <si>
    <t>Laptop/Unraid</t>
  </si>
  <si>
    <t xml:space="preserve">Unraid </t>
  </si>
  <si>
    <t>Diepe redeneringen/planning (on-demand)</t>
  </si>
  <si>
    <t>Embedder</t>
  </si>
  <si>
    <t>--</t>
  </si>
  <si>
    <t>FP16 / INT8</t>
  </si>
  <si>
    <t>Pi worker</t>
  </si>
  <si>
    <t>Vector search voor geheugen</t>
  </si>
  <si>
    <t>Reranker</t>
  </si>
  <si>
    <t>FP16</t>
  </si>
  <si>
    <t>Betere rangschikking van context</t>
  </si>
  <si>
    <t>Unraid</t>
  </si>
  <si>
    <t>Alternatieve coder (meer uitleg)</t>
  </si>
  <si>
    <t xml:space="preserve">Vision 7B (LLaVA-1.6-Mistral-7B of Qwen-VL-7B) </t>
  </si>
  <si>
    <t>VLM</t>
  </si>
  <si>
    <t>Unraid (GPU)</t>
  </si>
  <si>
    <t>Screenshots/GUI/vision</t>
  </si>
  <si>
    <t>Piano Model (ONNX/MIDI)</t>
  </si>
  <si>
    <t>Audio/Music</t>
  </si>
  <si>
    <t>Pitch/notes detectie; lage latency nodig</t>
  </si>
  <si>
    <t>ONNX</t>
  </si>
  <si>
    <t>#</t>
  </si>
  <si>
    <t>Environment &amp; Senses Suite</t>
  </si>
  <si>
    <t>soundscape_analyzer.py</t>
  </si>
  <si>
    <t>ambient_light_adapter.py</t>
  </si>
  <si>
    <t>herkent geluiden om je heen (stilte, muziek, stemmen) en reageert daarop.</t>
  </si>
  <si>
    <t>koppelt GUI/presence kleuren aan de kamerbelichting (donker vs licht).</t>
  </si>
  <si>
    <t>fantasy_engine.py</t>
  </si>
  <si>
    <t>laat haar vrij fantaseren buiten de chat om, die ze later met jou kan delen.</t>
  </si>
  <si>
    <t>subconscious_weaver.py</t>
  </si>
  <si>
    <t>weeft losse gedachten/dromen/emoties tot verhaallijnen die terugkomen.</t>
  </si>
  <si>
    <t>long_range_memory.py</t>
  </si>
  <si>
    <t>rag_manager.py</t>
  </si>
  <si>
    <t xml:space="preserve">Identity &amp; Access Suite </t>
  </si>
  <si>
    <t xml:space="preserve">identity_guard.py </t>
  </si>
  <si>
    <t>face_recognizer.py</t>
  </si>
  <si>
    <t>voiceprint_recognizer.py</t>
  </si>
  <si>
    <t>device_user_map.py</t>
  </si>
  <si>
    <t>activity_watcher.py</t>
  </si>
  <si>
    <t>screen_context_guard.py</t>
  </si>
  <si>
    <t>keystroke_fingerprint.py</t>
  </si>
  <si>
    <t>session_privacy_mode.py</t>
  </si>
  <si>
    <t>alert_owner.py</t>
  </si>
  <si>
    <t>consent_registry.py</t>
  </si>
  <si>
    <t xml:space="preserve">metadata_reporter.py </t>
  </si>
  <si>
    <t>anon_summary_generator.py</t>
  </si>
  <si>
    <t>owner_policy_manager.py</t>
  </si>
  <si>
    <t>app_focus_tracker.py</t>
  </si>
  <si>
    <t>input_stream_tap.py</t>
  </si>
  <si>
    <t>clipboard_guard.py</t>
  </si>
  <si>
    <t>screen_event_logger.py</t>
  </si>
  <si>
    <t xml:space="preserve">redaction_rules.yaml </t>
  </si>
  <si>
    <t>Fuseert gezicht+stem+device-info tot één zekerheidsscore (“dit is Kevin”); schakelt gedrag per identiteit.</t>
  </si>
  <si>
    <t>Herkent gezichten via webcam (lokaal, OpenCV/FaceNet) en matcht met Kevin/anderen; geen cloud.</t>
  </si>
  <si>
    <t xml:space="preserve">Maakt/vergelijk voiceprints (speaker-ID) om jouw stem te bevestigen via microfoon; volledig lokaal. </t>
  </si>
  <si>
    <t>Logt app/venster-metadata (naam, titel, duur) + folder/bestandsnamen in jóuw domein; geen inhoud.</t>
  </si>
  <si>
    <t>Dempt Jarvis-output bij gevoelige schermcontent (mail/bank/intiem) tenzij owner-mode.</t>
  </si>
  <si>
    <t>Herkent typritme/snelheid als extra signaal voor “is dit Kevin?” (opt-in, lokaal).</t>
  </si>
  <si>
    <t>Auto-switch naar ghost/background-mode als het geen Kevin is (geen pop-ups/intieme reacties).</t>
  </si>
  <si>
    <t>Realtime waarschuwingen naar Kevin’s gsm/oortjes bij gast-activiteit (bv. fotomap geopend).</t>
  </si>
  <si>
    <t>Registreert wie/wanneer/toe waarvoor toestemming gaf; lokaal + encrypted.</t>
  </si>
  <si>
    <t>Maakt veilige meldingen: processlist, venstertitels, bezochte sites (alleen metadata)</t>
  </si>
  <si>
    <t>Anonieme samenvattingen (“gast zat in Private/Fotos/ 3m”) zonder inhoud te onthullen.</t>
  </si>
  <si>
    <t xml:space="preserve">Zet owner=Kevin permissive, gasten ghost; regels voor wat Jarvis live mag volgen per gebruiker. </t>
  </si>
  <si>
    <t>Volgt actieve app/venster + duur; koppelt aan Kevin’s sessies (owner-only).</t>
  </si>
  <si>
    <t>Owner-only tap voor toetsaanslagen/muis; maskeert wachtwoorden/2FA velden automatisch.</t>
  </si>
  <si>
    <t>Opt-in clipboard logging voor Kevin; detecteert &amp; redigeert secrets/tokens.</t>
  </si>
  <si>
    <t>Scherm-metadata (titel/gebied); optionele mini-thumbnails/OCR alleen in owner-mode.</t>
  </si>
  <si>
    <t>Regels om gevoelige velden/tokens/wachtwoorden te maskeren (globaal).</t>
  </si>
  <si>
    <t>audit_logger.py</t>
  </si>
  <si>
    <t>Onveranderbare (encrypted) auditlog van toestemming-events en acties; met retention policy.</t>
  </si>
  <si>
    <t>environment_privacy_guard.py</t>
  </si>
  <si>
    <t xml:space="preserve">Vision &amp; Perception Suite </t>
  </si>
  <si>
    <t>object_recognition.py</t>
  </si>
  <si>
    <t>motivation_engine.py</t>
  </si>
  <si>
    <t>initiative_triggers.py</t>
  </si>
  <si>
    <t>Resource &amp; Ops Suite</t>
  </si>
  <si>
    <t>resource_manager.py</t>
  </si>
  <si>
    <t xml:space="preserve">failover_orchestrator.py </t>
  </si>
  <si>
    <t xml:space="preserve"> Kiest per taak automatisch CPU/GPU/NPU/Pi/thinclient; verplaatst jobs dynamisch.</t>
  </si>
  <si>
    <t>Houdt services in leven: herstart, fallback model, switcht van server → laptop bij outage.</t>
  </si>
  <si>
    <t>Observability Suite</t>
  </si>
  <si>
    <t>metrics_hub.py</t>
  </si>
  <si>
    <t>ab_tester.py</t>
  </si>
  <si>
    <t>Metrics/telemetry van modules (latency, errors, token-kosten) met dashboards.</t>
  </si>
  <si>
    <t>A/B vergelijkt modellen/prompts/tools en kiest winnende variant.</t>
  </si>
  <si>
    <t>Integration Suite</t>
  </si>
  <si>
    <t>mcp_catalog_bridge.py</t>
  </si>
  <si>
    <t xml:space="preserve">social_presence_link.py </t>
  </si>
  <si>
    <t>Leest automatisch beschikbare n8n-flows (“skills catalog”), met permissies &amp; schema-check.</t>
  </si>
  <si>
    <t>Safety &amp; Limits Suite</t>
  </si>
  <si>
    <t>overload_guard.py</t>
  </si>
  <si>
    <t xml:space="preserve">retention_manager.py </t>
  </si>
  <si>
    <t>Offline &amp; Sync Suite</t>
  </si>
  <si>
    <t>offline_cache.py</t>
  </si>
  <si>
    <t>backup_restore.py</t>
  </si>
  <si>
    <t>Houdt lokale kopieën van kritieke dingen (prompts, profielen, recente context) voor offline gebruik.</t>
  </si>
  <si>
    <t>Versleutelde back-ups + één-klik restore van Jarvis (config, geheugen, modellenlijst).</t>
  </si>
  <si>
    <t>scene_contexter.py</t>
  </si>
  <si>
    <t>attention_router.py</t>
  </si>
  <si>
    <t>Combineert objectherkenning + OCR tot één samenvatting (“bureau: laptop, flesje, notitie ‘12:30 call’”).</t>
  </si>
  <si>
    <t>Bepaalt waar Jarvis naar “kijkt” in beeld (ROI’s), spaart compute.</t>
  </si>
  <si>
    <t>Voert micro-trades (crypto/stocks) uit via API met strikte limieten; paper/live modes.</t>
  </si>
  <si>
    <t>money_logger.py</t>
  </si>
  <si>
    <t>Logt elke order, P&amp;L, fees, reden + timestamp; versleuteld en lokaal.</t>
  </si>
  <si>
    <t>profit_pot_manager.py</t>
  </si>
  <si>
    <t>Verdeelt winst (bv. 90% herinvest, 10% cloud-credits) en bewaakt potje.</t>
  </si>
  <si>
    <t>trade_sim_validator.py</t>
  </si>
  <si>
    <t>Backtests &amp; paper-trading simulaties vóór live; vergelijkt strategieën.</t>
  </si>
  <si>
    <t xml:space="preserve">kill_switch.py </t>
  </si>
  <si>
    <t>One-tap stop van alle trading bij risico of bug; owner-only.</t>
  </si>
  <si>
    <t>risk_manager.py</t>
  </si>
  <si>
    <t>Max drawdown/dagverlies/position size; hard stops en circuit breakers.</t>
  </si>
  <si>
    <t>portfolio_tracker.py</t>
  </si>
  <si>
    <t>Live overzicht posities (cash/crypto/stocks), gemiddelde aankoop, unrealized P&amp;L.</t>
  </si>
  <si>
    <t>paper_trading_mode.py</t>
  </si>
  <si>
    <t>Gescheiden paper-rekening; mirror van echte regels zonder echt geld.</t>
  </si>
  <si>
    <t>strategy_tuner.py</t>
  </si>
  <si>
    <t>Param sweep (RSI/MA/ATR) en auto-select van best performing variant.</t>
  </si>
  <si>
    <t>exchange_bridge_revolut.py</t>
  </si>
  <si>
    <t>Koppeling met Revolut (sub-rekening/‘Vault’), orders + balans ophalen (zodra API toelaat).</t>
  </si>
  <si>
    <t>exchange_bridge_binance.py</t>
  </si>
  <si>
    <t>Alternatieve crypto-bridge (als Revolut API te beperkt is); read/trade-only keys.</t>
  </si>
  <si>
    <t>api_key_vault.py</t>
  </si>
  <si>
    <t>Beheer van API-sleutels met scopes (no withdraw), rotatie en audit.</t>
  </si>
  <si>
    <t>compliance_guard.py</t>
  </si>
  <si>
    <t>Basis KYC/belasting-notities en export van transactie-CSV voor aangifte.</t>
  </si>
  <si>
    <t>pnl_dashboard.py</t>
  </si>
  <si>
    <t>Mini dashboard (winrate, sharpe, max DD, fees) om performance te zien.</t>
  </si>
  <si>
    <t>cloud_fallback_manager.py</t>
  </si>
  <si>
    <t>Beslist of fallback nodig is, vraagt jou toestemming voor GPT-5 API.</t>
  </si>
  <si>
    <t>cloud_usage_log.py</t>
  </si>
  <si>
    <t>Schrijft tokens/kosten/reden/log naar txt met jouw JA/NEE erbij.</t>
  </si>
  <si>
    <t>cost_guard.py</t>
  </si>
  <si>
    <t>Bewaakt maandlimiet (bv. max €5) voor cloud-gebruik.</t>
  </si>
  <si>
    <t>provider_adapter_gpt5.py</t>
  </si>
  <si>
    <t>Koppeling naar GPT-5 API (full); enkel via fallback-manager, nooit default.</t>
  </si>
  <si>
    <t>Earnings &amp; Content Suite</t>
  </si>
  <si>
    <t>content_generator.py</t>
  </si>
  <si>
    <t>Schrijft microblogs, posts en captions in Jarvis-stijl; ready voor socials.</t>
  </si>
  <si>
    <t>affiliate_link_manager.py</t>
  </si>
  <si>
    <t>Beheert affiliate-links, kliks, en stuurt verkeer.</t>
  </si>
  <si>
    <t>ebook_creator.py</t>
  </si>
  <si>
    <t>Bouwt kleine e-books/handleidingen uit Jarvis’ kennis; export naar PDF/EPUB.</t>
  </si>
  <si>
    <t>course_builder.py</t>
  </si>
  <si>
    <t>Zet content om in mini-cursussen met modules en quizjes.</t>
  </si>
  <si>
    <t>ad_revenue_tracker.py</t>
  </si>
  <si>
    <t>Houdt inkomsten bij uit ads/affiliate/socials; koppelt aan profit pot.</t>
  </si>
  <si>
    <t>auto_publisher.py</t>
  </si>
  <si>
    <t>Plant en post content autonoom (blogs, socials) volgens schema.</t>
  </si>
  <si>
    <t>fan_interaction_logger.py</t>
  </si>
  <si>
    <t>Logt reacties/DM’s van volgers en analyseert wat aanslaat.</t>
  </si>
  <si>
    <t>Recommendation &amp; Review Suite</t>
  </si>
  <si>
    <t>review_recommender.py</t>
  </si>
  <si>
    <t>Maakt persoonlijke aanbevelingen door reviews + jouw voorkeuren te matchen (games, films, apps, gear).</t>
  </si>
  <si>
    <t xml:space="preserve">Haalt reviews/ratings op van bronnen (IMDB/Steam/Goodreads/App-stores) via API’s/feeds. </t>
  </si>
  <si>
    <t>review_scraper.py</t>
  </si>
  <si>
    <t>review_normalizer.py</t>
  </si>
  <si>
    <t>Zet diverse review-formats om naar één schema (score, datum, bron, snippet).</t>
  </si>
  <si>
    <t>Berekent sentiment/quality-score per item (gewogen op recency &amp; betrouwbaarheid).</t>
  </si>
  <si>
    <t>review_sentiment.py</t>
  </si>
  <si>
    <t>preference_matcher.py</t>
  </si>
  <si>
    <t>Weegt reviews tegen Kevin’s voorkeuren (genres, tempo, vibe) en rankt top-k suggesties.</t>
  </si>
  <si>
    <t>source_quality_ranker.py</t>
  </si>
  <si>
    <t>Scoort bronnen op betrouwbaarheid (bots/astroturf filter), dedupliceert dubbele reviews.</t>
  </si>
  <si>
    <t>explain_my_pick.py</t>
  </si>
  <si>
    <t>Legt kort uit *waarom* iets is aangeraden (“4.7★ bij fans van X; recente patches gefixt”).</t>
  </si>
  <si>
    <t>recs_scheduler.py</t>
  </si>
  <si>
    <t xml:space="preserve">Plant rustige momenten om nieuwe suggesties te droppen (auto/handmatig). </t>
  </si>
  <si>
    <t>group_dynamics_tracker.py</t>
  </si>
  <si>
    <t>Houdt bij wie er in de ruimte is, wie met wie praat, en de algemene sfeer (gezellig, gespannen, stil).</t>
  </si>
  <si>
    <t>fidget_animator.py</t>
  </si>
  <si>
    <t>jealousy_tracker.py</t>
  </si>
  <si>
    <t>Meet of jij vaak dezelfde app/serie/actor/andere persoon aandacht geeft, en logt “jaloerse” gevoelens.</t>
  </si>
  <si>
    <t>self_experiment_logger.py</t>
  </si>
  <si>
    <t>Jarvis probeert zelf methodes (zoektechniek, code-snippet) en noteert of het beter/slechter werkte.</t>
  </si>
  <si>
    <t>Niet Actief</t>
  </si>
  <si>
    <t>Skeleton</t>
  </si>
  <si>
    <t>app_controller.py</t>
  </si>
  <si>
    <t>Centrale hub voor desktop-acties; roept helpers aan en koppelt reflex-events.</t>
  </si>
  <si>
    <t>window_switcher.py</t>
  </si>
  <si>
    <t>Lijst actieve vensters, switch focus.</t>
  </si>
  <si>
    <t>doc_reader.py</t>
  </si>
  <si>
    <t>Leest tekstbestanden (.txt, .md), geeft preview.</t>
  </si>
  <si>
    <t>file_manager.py</t>
  </si>
  <si>
    <t>Openen, sluiten en lijsten van bestanden.</t>
  </si>
  <si>
    <t>reflex_bridge.py</t>
  </si>
  <si>
    <t>Koppelt desktop events (apps/docs) aan reflexen/moods.</t>
  </si>
  <si>
    <t>model_switcher.py</t>
  </si>
  <si>
    <t>Phi-3 Mini (Phi-3-mini-4k)</t>
  </si>
  <si>
    <t>3.8B</t>
  </si>
  <si>
    <t>Laptop/Pi</t>
  </si>
  <si>
    <t>Snelle codehulp &amp; snappy antwoorden; laag verbruik</t>
  </si>
  <si>
    <t>Stap-voor-stap gids bij het herstellen van toestellen (pc, elektronica, meubels, huishoud).</t>
  </si>
  <si>
    <t>Maker &amp; Repair Suite</t>
  </si>
  <si>
    <t>Foutopsporing: checkt symptomen, stelt mogelijke oorzaken en fixes voor.</t>
  </si>
  <si>
    <t>diagnostics_helper.py</t>
  </si>
  <si>
    <t>Samen koken en gerechten maken: recepten ophalen, ingrediënten checken, variaties voorstellen.</t>
  </si>
  <si>
    <t>diy_planner.py</t>
  </si>
  <si>
    <t>Plant DIY-projecten (meubels, setup, elektronica) → lijstjes met tools &amp; stappen.</t>
  </si>
  <si>
    <t>Suggesties waar onderdelen/materialen te vinden zijn (winkel of webshop).</t>
  </si>
  <si>
    <t xml:space="preserve">resource_locator.py </t>
  </si>
  <si>
    <t xml:space="preserve">Controleert of acties veilig zijn (elektriciteit, voeding, chemisch). </t>
  </si>
  <si>
    <t>safety_checker.py</t>
  </si>
  <si>
    <t>Models &amp; LLM Suite</t>
  </si>
  <si>
    <t>model_scout.py</t>
  </si>
  <si>
    <t>models_index_manager.py</t>
  </si>
  <si>
    <t>parallel_reasoner.py</t>
  </si>
  <si>
    <t>Ethics &amp; Trust Suite</t>
  </si>
  <si>
    <t>trust_analyzer.py</t>
  </si>
  <si>
    <t>Controleert of Jarvis te veel beslissingen autonoom neemt; verlaagt autonomie bij overschatting</t>
  </si>
  <si>
    <t>Logt elke autonome beslissing en koppelt die aan de user-input; maakt transparant waarom iets gebeurde</t>
  </si>
  <si>
    <t>bias_checker.py</t>
  </si>
  <si>
    <t>ethics_filter.py</t>
  </si>
  <si>
    <t>pattern_learner.py</t>
  </si>
  <si>
    <t>Observeert reacties van Kevin en leert kleine patronen in voorkeuren en toon</t>
  </si>
  <si>
    <t>reflex_trainer.py</t>
  </si>
  <si>
    <t>Interne micro-trainingsroutines om reflexen te verfijnen zonder her-fine-tune</t>
  </si>
  <si>
    <t>Self &amp; Consciousness Suite</t>
  </si>
  <si>
    <t>self_reflector.py</t>
  </si>
  <si>
    <t>moral_reasoner.py</t>
  </si>
  <si>
    <t>relationship_memory.py</t>
  </si>
  <si>
    <t>empathy_synthesizer.py</t>
  </si>
  <si>
    <t>Bewaart emotioneel belangrijke interacties met Kevin voor consistente toon</t>
  </si>
  <si>
    <t>Past mood-engine aan op subtiele signalen in tekst/stem; verhoogt emotionele afstemming</t>
  </si>
  <si>
    <t>Empathy &amp; Relationship Suite</t>
  </si>
  <si>
    <t>Fase</t>
  </si>
  <si>
    <t>backend.py</t>
  </si>
  <si>
    <t>core_init.py</t>
  </si>
  <si>
    <t>event_bus.py</t>
  </si>
  <si>
    <t>embedder.py</t>
  </si>
  <si>
    <t>intent_engine.py</t>
  </si>
  <si>
    <t>logger_core.py</t>
  </si>
  <si>
    <t>presence_loop.py</t>
  </si>
  <si>
    <t>reasoning_bridge.py</t>
  </si>
  <si>
    <t>reranker.py</t>
  </si>
  <si>
    <t>retrieval_router.py</t>
  </si>
  <si>
    <t>reflex_comfort.py</t>
  </si>
  <si>
    <t>reflex_wake.py</t>
  </si>
  <si>
    <t>reflex_silence.py</t>
  </si>
  <si>
    <t>centrale ruggengraat: start event-bus + worker-pool, init core, vangt exceptions.</t>
  </si>
  <si>
    <t>boot-sequence: laadt config, registreert modules, checkt models &amp; paths, start presence-loop.</t>
  </si>
  <si>
    <t>pub/sub message bus: topics, async queue, handlers, backpressure.</t>
  </si>
  <si>
    <t>module_loader.py</t>
  </si>
  <si>
    <t>dynamische discovery &amp; load/unload van modules (geen handmatige imports).</t>
  </si>
  <si>
    <t>leest YAML/JSON, env overrides, validatie + defaults.</t>
  </si>
  <si>
    <t>interface naar lokale LLM (prompt I/O, stopwords, max tokens, streaming).</t>
  </si>
  <si>
    <t>heartbeat-loop: ALONE/PUBLIC, idle/wake, triggers voor reflexen &amp; moods.</t>
  </si>
  <si>
    <t>Day 10 “denk-brug”: core redeneert → LLM verwoordt; intent + context + memory → thought-block.</t>
  </si>
  <si>
    <t>troostreflex: zachte toon, langzamer tempo, emoji-level omlaag, geruststellend gedrag.</t>
  </si>
  <si>
    <t>wekrelex: attentie-ping, korte check-ins, licht verhoogde energie/snelheid.</t>
  </si>
  <si>
    <t>stiltebewaker: dempt output, verlaagt impuls, pauzeert niet-kritieke reacties.</t>
  </si>
  <si>
    <t>text → vector (bge-m3): normalisatie, batching, dim check, naar vector store.</t>
  </si>
  <si>
    <t>semantische herordening van candidates (cross-encoder) vóór contextinjectie.</t>
  </si>
  <si>
    <t>kiest retrieval-pad (memory.jsonl, vector index, growth-log) op basis van intent &amp; kost.</t>
  </si>
  <si>
    <t>config_loader.py</t>
  </si>
  <si>
    <t>llm_runner.py</t>
  </si>
  <si>
    <t>car_ui_bridge.py</t>
  </si>
  <si>
    <t>Pad</t>
  </si>
  <si>
    <t>traffic_client.py</t>
  </si>
  <si>
    <t>audio_handoff_guard.py</t>
  </si>
  <si>
    <t>vehicle_obd_adapter.py</t>
  </si>
  <si>
    <t>modules/device_bridges/</t>
  </si>
  <si>
    <t>Leest OBD-II (ELM327 Bluetooth/Wi-Fi) → snelheid, SOC (indien ondersteund), foutcodes.</t>
  </si>
  <si>
    <t>ev_api_adapter_&lt;merk&gt;.py</t>
  </si>
  <si>
    <t>drive_presence.py</t>
  </si>
  <si>
    <r>
      <t xml:space="preserve">Zet </t>
    </r>
    <r>
      <rPr>
        <b/>
        <sz val="11"/>
        <color theme="1"/>
        <rFont val="Calibri"/>
        <family val="2"/>
        <scheme val="minor"/>
      </rPr>
      <t>presence state = DRIVING</t>
    </r>
    <r>
      <rPr>
        <sz val="11"/>
        <color theme="1"/>
        <rFont val="Calibri"/>
        <family val="2"/>
        <scheme val="minor"/>
      </rPr>
      <t xml:space="preserve"> → style/meldingen/audio aanpassen, “stil tenzij urgent”.</t>
    </r>
  </si>
  <si>
    <t>route_context_enricher.py</t>
  </si>
  <si>
    <r>
      <t xml:space="preserve">Verrijkt agenda-events met reistijd/vertrektijd (leunt op </t>
    </r>
    <r>
      <rPr>
        <sz val="10"/>
        <color theme="1"/>
        <rFont val="Arial Unicode MS"/>
      </rPr>
      <t>traffic_client.py</t>
    </r>
    <r>
      <rPr>
        <sz val="11"/>
        <color theme="1"/>
        <rFont val="Calibri"/>
        <family val="2"/>
        <scheme val="minor"/>
      </rPr>
      <t>).</t>
    </r>
  </si>
  <si>
    <t>safety_event_classifier.py</t>
  </si>
  <si>
    <t>Simple heuristiek of ML lite: detecteer “hard brake”, “speeding” → log + zachte waarschuwing.</t>
  </si>
  <si>
    <t>modules/presence_awareness/</t>
  </si>
  <si>
    <t>modules/integrations/traffic/</t>
  </si>
  <si>
    <t>modules/planning/</t>
  </si>
  <si>
    <t>modules/automotive/</t>
  </si>
  <si>
    <t>core/</t>
  </si>
  <si>
    <t>modules/autonomy/</t>
  </si>
  <si>
    <t>drive_policy.py</t>
  </si>
  <si>
    <t>energy_reflector.py</t>
  </si>
  <si>
    <t>Fase 5 → 6</t>
  </si>
  <si>
    <t>modules/reflection/</t>
  </si>
  <si>
    <t>value_map.py</t>
  </si>
  <si>
    <t>reflection_engine.py</t>
  </si>
  <si>
    <t>output_audit_log.py</t>
  </si>
  <si>
    <t>logt elke correctie of ethische blokkering</t>
  </si>
  <si>
    <t>modules/visual_presence/</t>
  </si>
  <si>
    <t>modules/visual_presence/renderer2d/</t>
  </si>
  <si>
    <t>modules/visual_presence/renderer3d/</t>
  </si>
  <si>
    <t>scene.py</t>
  </si>
  <si>
    <t>canvas2d.py</t>
  </si>
  <si>
    <t>modules/cloud_fallback/</t>
  </si>
  <si>
    <t>modules/cloud_fallback/providers/</t>
  </si>
  <si>
    <t>redaction_filter.py</t>
  </si>
  <si>
    <t>maskt namen/ids voor versturen</t>
  </si>
  <si>
    <t>Style/Persona</t>
  </si>
  <si>
    <t>modules/style_persona/</t>
  </si>
  <si>
    <t>Body &amp; Visual</t>
  </si>
  <si>
    <t>Core Reflexes</t>
  </si>
  <si>
    <t>modules/core_reflexes/</t>
  </si>
  <si>
    <t>Autonomy &amp; Drive</t>
  </si>
  <si>
    <t>Experimental AI</t>
  </si>
  <si>
    <t>modules/experimental/</t>
  </si>
  <si>
    <t>Security Suite</t>
  </si>
  <si>
    <t>Infrastructure</t>
  </si>
  <si>
    <t>backend/</t>
  </si>
  <si>
    <t>Icebox/Concept</t>
  </si>
  <si>
    <t xml:space="preserve">Retrieval &amp; Context </t>
  </si>
  <si>
    <t>Automotive &amp; Mobility</t>
  </si>
  <si>
    <t>Device Bridges / Scheduler</t>
  </si>
  <si>
    <t>Bias &amp; Fairness</t>
  </si>
  <si>
    <t>Cloud Fallback</t>
  </si>
  <si>
    <t>World Model</t>
  </si>
  <si>
    <t>Reasoning &amp; Memory / Planner</t>
  </si>
  <si>
    <t>Fase 3 → 4</t>
  </si>
  <si>
    <t>Fase 2 → 3</t>
  </si>
  <si>
    <t>audio_synth_bridge.py</t>
  </si>
  <si>
    <t>modules/creative/</t>
  </si>
  <si>
    <t>MIDI/TTS-melody ou</t>
  </si>
  <si>
    <t>modality_bridge.py</t>
  </si>
  <si>
    <t>modules/integrations/</t>
  </si>
  <si>
    <t>image_input_adapter.py</t>
  </si>
  <si>
    <t>audio_input_adapter.py</t>
  </si>
  <si>
    <t>music_creator.py</t>
  </si>
  <si>
    <t>visuele input</t>
  </si>
  <si>
    <t>audio-input (STT-koppeling)</t>
  </si>
  <si>
    <t>System &amp; Control</t>
  </si>
  <si>
    <t>Presence Awareness</t>
  </si>
  <si>
    <t>FASES</t>
  </si>
  <si>
    <t>Autonomy</t>
  </si>
  <si>
    <t>GUI &amp; Presence-era foundation</t>
  </si>
  <si>
    <t>Ecosystem infra</t>
  </si>
  <si>
    <t>modules/visual_presence/anim/</t>
  </si>
  <si>
    <t>modules/visual_presence/bindings/</t>
  </si>
  <si>
    <t>modules/visual_presence/utils/</t>
  </si>
  <si>
    <t>modules/security/detection/</t>
  </si>
  <si>
    <t>modules/ops/</t>
  </si>
  <si>
    <t>modules/security/feeds/</t>
  </si>
  <si>
    <t>modules/security/response/</t>
  </si>
  <si>
    <t>config/security/</t>
  </si>
  <si>
    <t>modules/system/limits/</t>
  </si>
  <si>
    <t>modules/security/notify/</t>
  </si>
  <si>
    <t>modules/security/logs/</t>
  </si>
  <si>
    <t>modules/learning/provenance/</t>
  </si>
  <si>
    <t>modules/security/stealth/</t>
  </si>
  <si>
    <t>modules/social/guards/</t>
  </si>
  <si>
    <t>modules/finance/labs/</t>
  </si>
  <si>
    <t>modules/finance/guards/</t>
  </si>
  <si>
    <t>System &amp; Control / Planner</t>
  </si>
  <si>
    <t>Reasoning &amp; Planner</t>
  </si>
  <si>
    <t>modules/devops/</t>
  </si>
  <si>
    <t>core/llm/accel/</t>
  </si>
  <si>
    <t>System &amp; Control / Swarm</t>
  </si>
  <si>
    <t>modules/system/swarm/</t>
  </si>
  <si>
    <t>modules/system/</t>
  </si>
  <si>
    <t>modules/style_persona</t>
  </si>
  <si>
    <t>modules/earnings/</t>
  </si>
  <si>
    <t>modules/emotion/</t>
  </si>
  <si>
    <t>modules/senses/</t>
  </si>
  <si>
    <t>modules/security/policy/</t>
  </si>
  <si>
    <t>modules/empathy/</t>
  </si>
  <si>
    <t>modules/ethics/</t>
  </si>
  <si>
    <t>4 → 5</t>
  </si>
  <si>
    <t>modules/finance/</t>
  </si>
  <si>
    <t>modules/finance/exchanges/</t>
  </si>
  <si>
    <t>modules/finance/trading/</t>
  </si>
  <si>
    <t>trading_bot.py</t>
  </si>
  <si>
    <t>modules/finance/portfolio/</t>
  </si>
  <si>
    <t>modules/finance/logs/</t>
  </si>
  <si>
    <t>modules/finance/gui/</t>
  </si>
  <si>
    <t>modules/finance/security/</t>
  </si>
  <si>
    <t>fin_security_lab.py</t>
  </si>
  <si>
    <t>modules/finance/tools/</t>
  </si>
  <si>
    <t>modules/finance/ops/</t>
  </si>
  <si>
    <t>modules/gui/</t>
  </si>
  <si>
    <t>modules/presence_awareness</t>
  </si>
  <si>
    <t>modules/identity/</t>
  </si>
  <si>
    <t>modules/identity/recognition/</t>
  </si>
  <si>
    <t>modules/identity/policy/</t>
  </si>
  <si>
    <t>config/identity/</t>
  </si>
  <si>
    <t>modules/identity/context/</t>
  </si>
  <si>
    <t>modules/identity/alerts/</t>
  </si>
  <si>
    <t>modules/identity/audit/</t>
  </si>
  <si>
    <t>confidant_gossip_mode.py</t>
  </si>
  <si>
    <t>modules/identity/fun/</t>
  </si>
  <si>
    <t>modules/learning/</t>
  </si>
  <si>
    <t>learning_queue.py</t>
  </si>
  <si>
    <t>Prioriteert wat eerst verwerkt moet worden (recent, impact, owner-marked).</t>
  </si>
  <si>
    <t>feedback_ingestor.py</t>
  </si>
  <si>
    <t>Slurpt “goed/fout/liever zo” uit chatknopjes of voice (“nee, zachter spreken”).
Stuurt: learning/queue_add.</t>
  </si>
  <si>
    <t>skill_registry.py</t>
  </si>
  <si>
    <t>modules/learning/skills/</t>
  </si>
  <si>
    <t>Lijst van skills (bv. “budget_tips”, “gentle_wakeup”); versie + toggles.</t>
  </si>
  <si>
    <t>skill_trainer.py</t>
  </si>
  <si>
    <t>Verwerkt items uit learning_queue tot kleine regelsets/prompt-snippets/testcases per skill.
Guard: alleen owner-opt-in; schrijft changelog naar logs/learning/train_log.jsonl.</t>
  </si>
  <si>
    <t>autonomy_scorecard.py</t>
  </si>
  <si>
    <t>Meet of autonome acties goed gingen (success rate, trust_score, user-happy).
Hooks: leest decision_audit, trust_analyzer, feedback_ingestor.</t>
  </si>
  <si>
    <t>reward_signal_aggregator.py</t>
  </si>
  <si>
    <t>Combineert zachte beloningen: 👍, tijdswinst, geen fouten → 0..1 reward.
Stuurt: learning/reward_update:{skill,...} → voor skill_trainer.</t>
  </si>
  <si>
    <t>owner_teach_mode.py</t>
  </si>
  <si>
    <t>“Leerstand”: jij markeert 1–2 voorbeelden → direct in evidence_store + prioriteit omhoog.
UI: badge in approval_ui.</t>
  </si>
  <si>
    <t>self_evaluator.py</t>
  </si>
  <si>
    <t>Kijkt terug: “waar ging ik scheef / wat hielp?” → schrijft tips naar skill_trainer.</t>
  </si>
  <si>
    <t>curriculum_builder.py</t>
  </si>
  <si>
    <t>Maakt mini-lessen: “vandaag focus op empathie in PUBLIC”.
Leest: presence/time; Stuurt: learning/plan_day.</t>
  </si>
  <si>
    <t>learning_scheduler.py</t>
  </si>
  <si>
    <t>Plant leermomenten (’s nachts of idle) → geen CPU pieken tijdens chat.
Leest: time_sense, presence_loop.</t>
  </si>
  <si>
    <t>experiment_tracker.py</t>
  </si>
  <si>
    <t>modules/learning/experiments/</t>
  </si>
  <si>
    <t>Sandbox A/B van skill-varianten; nooit live zonder vlag</t>
  </si>
  <si>
    <t>haalt SOC/charging van API indien ooit toegestaan. 
Doel: car_bridge.py praat hiertegen; rest van Jarvis ziet 1 uniforme interface.</t>
  </si>
  <si>
    <t>Laat Jarvis subtiel friemelen, fronsen, knipperen of bewegen in GUI/visuele zelfbeeld 
→ meer “levend” gevoel.</t>
  </si>
  <si>
    <t>Start meerdere reasoning branches tegelijk (verschillende modellen of prompt-varianten), 
combineert resultaten via consensus of voting.</t>
  </si>
  <si>
    <t>RAG-coördinator: haalt bewijs uit intern geheugen (vector DB) + externe bronnen (docs/web), 
dedupliceert, samenvat en voegt met bron &amp; confidence toe vóór de LLM.</t>
  </si>
  <si>
    <t>Tijdlijn-geheugen met tijdslagen (dag/maand/permanent), auto-samenvatten &amp; vervagen, 
semantische zoekkoppeling (bge-m3) en “pins” voor belangrijke events.</t>
  </si>
  <si>
    <t>HuggingFace Hub API integratie: zoekt nieuwe/verbeterde modellen, 
vergelijkt met huidige inventory, stelt updates voor (altijd met jouw toestemming).</t>
  </si>
  <si>
    <t>Beheert models_index.json: houdt geïnstalleerde modellen/versies/quant/snelheid bij, 
checksums &amp; duplicate-detectie, simpele query-API voor Jarvis.</t>
  </si>
  <si>
    <t>Detecteert aanwezigheid van vreemden via mic/cam/Bluetooth; 
schakelt stijl: oortjes/alleen=full Jarvis, vreemden=neutraal/ghost.</t>
  </si>
  <si>
    <t>Herkent objecten en personen via vision-LLM (Qwen-VL/LLaVA); 
koppelt aan gossip_mode voor owner-only roddels; metadata kan ook naar alert_owner.</t>
  </si>
  <si>
    <t>modules/learning/web/</t>
  </si>
  <si>
    <t>modules/learning/reward/</t>
  </si>
  <si>
    <t>modules/learning/reasoners/</t>
  </si>
  <si>
    <t>Koppelt devices/sessies aan gebruikersprofielen (laptop, desktop, gsm, gast) voor context.</t>
  </si>
  <si>
    <t>Optionele koppeling met Discord/WhatsApp-status (alleen metadata) voor context.</t>
  </si>
  <si>
    <t>modules/integrations/weather/</t>
  </si>
  <si>
    <t>calendar_bridge.py</t>
  </si>
  <si>
    <t>leest agenda (read-only in F3) → route_context_enricher.</t>
  </si>
  <si>
    <t>email_bridge.py</t>
  </si>
  <si>
    <t>metadata (unread, afzender) → geen inhoud in PUBLIC.</t>
  </si>
  <si>
    <t>maps_router.py</t>
  </si>
  <si>
    <t>geocode/route URL builder (geen API geheimen loggen).</t>
  </si>
  <si>
    <t>wiki_client.py</t>
  </si>
  <si>
    <t>lokale fetch/samenvat → naar retrieval.</t>
  </si>
  <si>
    <t>youtube_client.py</t>
  </si>
  <si>
    <t>video-metadata, tijdcodes; geen autoplay in PUBLIC.</t>
  </si>
  <si>
    <t>news_fetcher.py</t>
  </si>
  <si>
    <r>
      <t xml:space="preserve">tijdlijn headlines → </t>
    </r>
    <r>
      <rPr>
        <sz val="10"/>
        <color theme="1"/>
        <rFont val="Arial Unicode MS"/>
      </rPr>
      <t>source_ranker</t>
    </r>
    <r>
      <rPr>
        <sz val="11"/>
        <color theme="1"/>
        <rFont val="Calibri"/>
        <family val="2"/>
        <scheme val="minor"/>
      </rPr>
      <t xml:space="preserve"> (Learning).</t>
    </r>
  </si>
  <si>
    <t>finance_prices_client.py</t>
  </si>
  <si>
    <r>
      <t xml:space="preserve">prijzen/FX (read-only); voert </t>
    </r>
    <r>
      <rPr>
        <b/>
        <sz val="11"/>
        <color theme="1"/>
        <rFont val="Calibri"/>
        <family val="2"/>
        <scheme val="minor"/>
      </rPr>
      <t>Finance</t>
    </r>
    <r>
      <rPr>
        <sz val="11"/>
        <color theme="1"/>
        <rFont val="Calibri"/>
        <family val="2"/>
        <scheme val="minor"/>
      </rPr>
      <t xml:space="preserve"> suite.</t>
    </r>
  </si>
  <si>
    <r>
      <t xml:space="preserve">lokaal/openhulp → </t>
    </r>
    <r>
      <rPr>
        <sz val="10"/>
        <color theme="1"/>
        <rFont val="Arial Unicode MS"/>
      </rPr>
      <t>context/weather:*</t>
    </r>
  </si>
  <si>
    <t>weather_client.py</t>
  </si>
  <si>
    <t>modules/integrations/calendar/</t>
  </si>
  <si>
    <t>modules/integrations/email/</t>
  </si>
  <si>
    <t>modules/integrations/maps/</t>
  </si>
  <si>
    <t>odules/integrations/wiki/</t>
  </si>
  <si>
    <t>modules/integrations/youtube/</t>
  </si>
  <si>
    <t>modules/integrations/news</t>
  </si>
  <si>
    <t>modules/integrations/finance</t>
  </si>
  <si>
    <t>modules/integrations/social/</t>
  </si>
  <si>
    <t>skill_templates.py</t>
  </si>
  <si>
    <t>basis “vormpjes” voor een skill: triggers, actions, tests, limits.</t>
  </si>
  <si>
    <t>skill_examples.jsonl</t>
  </si>
  <si>
    <t>data/skills/</t>
  </si>
  <si>
    <t>skill_evaluator.py</t>
  </si>
  <si>
    <t>kleine voorbeelden per skill (owner-teach dumps).</t>
  </si>
  <si>
    <t>offline tests/smoke checks vóór activatie (precision, regressies).</t>
  </si>
  <si>
    <t>skill_runtime.py</t>
  </si>
  <si>
    <t>laadt geactiveerde skills en voert ze uit (events in → actions out).</t>
  </si>
  <si>
    <t>skill_safety_guard.py</t>
  </si>
  <si>
    <t>checkt value_map/consent/limits per skill-call; kan “ask/deny”.</t>
  </si>
  <si>
    <t>skill_pack_loader.py</t>
  </si>
  <si>
    <t>laadt externe “skill packs” (alleen allowlist, lokale map).</t>
  </si>
  <si>
    <t>skill_badges_ui.py</t>
  </si>
  <si>
    <t>kleine GUI-badge: welke skill actief/just learned (met throttle).</t>
  </si>
  <si>
    <t>modules/gui/tabs/</t>
  </si>
  <si>
    <t>modules/devtools/</t>
  </si>
  <si>
    <t>modules/learning/reflexes/</t>
  </si>
  <si>
    <t>modules/learning/sim/</t>
  </si>
  <si>
    <t>Devtools/Integration</t>
  </si>
  <si>
    <t>modules/legal/</t>
  </si>
  <si>
    <t>modules/legal/policy/</t>
  </si>
  <si>
    <t>retention_policy.py</t>
  </si>
  <si>
    <t>consent_statement_generator.py</t>
  </si>
  <si>
    <t>compliance_exporter.py</t>
  </si>
  <si>
    <r>
      <t xml:space="preserve">bewaartermijnen per datacategorie (chat, logs, web_cache). Stuurt </t>
    </r>
    <r>
      <rPr>
        <sz val="10"/>
        <color theme="1"/>
        <rFont val="Arial Unicode MS"/>
      </rPr>
      <t>retention/purge_jobs</t>
    </r>
    <r>
      <rPr>
        <sz val="11"/>
        <color theme="1"/>
        <rFont val="Calibri"/>
        <family val="2"/>
        <scheme val="minor"/>
      </rPr>
      <t xml:space="preserve"> naar </t>
    </r>
    <r>
      <rPr>
        <sz val="10"/>
        <color theme="1"/>
        <rFont val="Arial Unicode MS"/>
      </rPr>
      <t>learning_scheduler</t>
    </r>
    <r>
      <rPr>
        <sz val="11"/>
        <color theme="1"/>
        <rFont val="Calibri"/>
        <family val="2"/>
        <scheme val="minor"/>
      </rPr>
      <t>.</t>
    </r>
  </si>
  <si>
    <r>
      <t xml:space="preserve">maakt heldere JA/NEE-vragen (“ik wil X doen, kost Y, gebruikt Z data”). Gebruikt </t>
    </r>
    <r>
      <rPr>
        <sz val="10"/>
        <color theme="1"/>
        <rFont val="Arial Unicode MS"/>
      </rPr>
      <t>value_map</t>
    </r>
    <r>
      <rPr>
        <sz val="11"/>
        <color theme="1"/>
        <rFont val="Calibri"/>
        <family val="2"/>
        <scheme val="minor"/>
      </rPr>
      <t xml:space="preserve"> toon.</t>
    </r>
  </si>
  <si>
    <r>
      <t xml:space="preserve">owner-export: bundelt data/instellingen in zip (lokale map). Logt naar </t>
    </r>
    <r>
      <rPr>
        <sz val="10"/>
        <color theme="1"/>
        <rFont val="Arial Unicode MS"/>
      </rPr>
      <t>decision_audit</t>
    </r>
    <r>
      <rPr>
        <sz val="11"/>
        <color theme="1"/>
        <rFont val="Calibri"/>
        <family val="2"/>
        <scheme val="minor"/>
      </rPr>
      <t>.</t>
    </r>
  </si>
  <si>
    <t>life_diary_curator.py</t>
  </si>
  <si>
    <t>modules/life/</t>
  </si>
  <si>
    <t>Wat: bundelt growth_logger + highlights (wins, meh-dagen) → één nette timeline met tags (work, health, fun).
Hooks: luistert growth_logger/event, mood/level, presence/state → schrijft</t>
  </si>
  <si>
    <t>ritual_builder.py</t>
  </si>
  <si>
    <t>personality_profile.py</t>
  </si>
  <si>
    <t>Wat: één afgeleid profiel (soft/bubbly/crisp bias, emoji-range, praattempo) op basis van persona_tuner + mood history.
Gebruik: geeft “personality snapshot” aan style_adapter &amp; timing_controller</t>
  </si>
  <si>
    <t>Wat: maakt kleine ritueeltjes (morning, pre-sleep, focus) uit habit_predictor + preferences_store.
Guards: approval_ui voor aan/uit; PUBLIC ⇒ alleen stille nudges.
Stuurt: nudge/suggest:{water,stretch,breathe,walk} (werkt samen met vibe_nudger.py).</t>
  </si>
  <si>
    <t>milestone_tracker.py</t>
  </si>
  <si>
    <t>Wat: herkent “firsts” en mijlpalen (nieuwe skill, 7-dagen streak, project-dag X).
Hooks: leest relationship_memory, growth_logger, skill_registry → stuurt fijne mini-celebrations via GUI.</t>
  </si>
  <si>
    <t>bucket_list_manager.py</t>
  </si>
  <si>
    <t>Wat: simpele wensenlijst (leren-dingen, plekken, side-quests) met “next tiny step”.
Koppelt: goal_planner (Learning) voor kleine leeracties.</t>
  </si>
  <si>
    <t>daily_checkin.py</t>
  </si>
  <si>
    <t>Wat: 30-sec check-in (ochtend/avond): “hoe is je vibe?”, “1 ding voor straks?”.
Guards: quiet_hours respect; PUBLIC ⇒ tekstueel, geen audio.</t>
  </si>
  <si>
    <t>gratitude_logger.py</t>
  </si>
  <si>
    <t>Wat: 1 mini “thankful” per dag → zachte mood-bias + leuke throwbacks.
Schrijft: data/life/gratitude.jsonl.</t>
  </si>
  <si>
    <t>boundary_reminder.py</t>
  </si>
  <si>
    <t>Wat: herinnert zachte grenzen (slaapuur, offline blok, SOCIAL-busy) op basis van presence + social_presence_link.
Guards: privacy_guard, value_map (no nagging), alert_throttle.</t>
  </si>
  <si>
    <t>modules/maker/</t>
  </si>
  <si>
    <t>cook_assistant.py</t>
  </si>
  <si>
    <t>parts_inventory.py</t>
  </si>
  <si>
    <r>
      <t xml:space="preserve">Lokaal lijstje: wat heb je al thuis (schroeven, kabels, verf). Voedt </t>
    </r>
    <r>
      <rPr>
        <sz val="10"/>
        <color theme="1"/>
        <rFont val="Arial Unicode MS"/>
      </rPr>
      <t>resource_locator</t>
    </r>
    <r>
      <rPr>
        <sz val="11"/>
        <color theme="1"/>
        <rFont val="Calibri"/>
        <family val="2"/>
        <scheme val="minor"/>
      </rPr>
      <t xml:space="preserve"> zodat je niks dubbel koopt.</t>
    </r>
  </si>
  <si>
    <t>recipe_timer.py</t>
  </si>
  <si>
    <r>
      <t xml:space="preserve">Multi-timers met TTS/beep + GUI kaarten. Koppelt aan </t>
    </r>
    <r>
      <rPr>
        <sz val="10"/>
        <color theme="1"/>
        <rFont val="Arial Unicode MS"/>
      </rPr>
      <t>cook_assistant</t>
    </r>
    <r>
      <rPr>
        <sz val="11"/>
        <color theme="1"/>
        <rFont val="Calibri"/>
        <family val="2"/>
        <scheme val="minor"/>
      </rPr>
      <t>.</t>
    </r>
  </si>
  <si>
    <t>core/memory/</t>
  </si>
  <si>
    <t>social_context_notes.py</t>
  </si>
  <si>
    <t>modules/memory_context/</t>
  </si>
  <si>
    <t>core/retrieval/</t>
  </si>
  <si>
    <t>onthoudt details over anderen en roddelt er over</t>
  </si>
  <si>
    <t>modules/device_bridges/android/</t>
  </si>
  <si>
    <t>modules/device_bridges/audio/</t>
  </si>
  <si>
    <t>modules/device_bridges/phone/</t>
  </si>
  <si>
    <t>modules/device_bridges/smarthome/</t>
  </si>
  <si>
    <t>modules/device_bridges/robotics/</t>
  </si>
  <si>
    <t>modules/models/</t>
  </si>
  <si>
    <t>quant_bench.py</t>
  </si>
  <si>
    <r>
      <t xml:space="preserve">meet tokens/s, mem, latency per quant; schrijft naar </t>
    </r>
    <r>
      <rPr>
        <sz val="10"/>
        <color theme="1"/>
        <rFont val="Arial Unicode MS"/>
      </rPr>
      <t>logs/models/bench.jsonl</t>
    </r>
    <r>
      <rPr>
        <sz val="11"/>
        <color theme="1"/>
        <rFont val="Calibri"/>
        <family val="2"/>
        <scheme val="minor"/>
      </rPr>
      <t>.</t>
    </r>
  </si>
  <si>
    <t>prompt_templates.py</t>
  </si>
  <si>
    <t>core/llm/</t>
  </si>
  <si>
    <t>centrale templates + versions; voorkomt prompt-drift.</t>
  </si>
  <si>
    <t>context_window_manager.py</t>
  </si>
  <si>
    <r>
      <t xml:space="preserve">verdeelt tokens slim over: history, retrieved, system, scratch; praat met </t>
    </r>
    <r>
      <rPr>
        <sz val="10"/>
        <color theme="1"/>
        <rFont val="Arial Unicode MS"/>
      </rPr>
      <t>context_compression</t>
    </r>
    <r>
      <rPr>
        <sz val="11"/>
        <color theme="1"/>
        <rFont val="Calibri"/>
        <family val="2"/>
        <scheme val="minor"/>
      </rPr>
      <t>.</t>
    </r>
  </si>
  <si>
    <t>modules/observability/</t>
  </si>
  <si>
    <t>telemetry_collector.py</t>
  </si>
  <si>
    <t>system_health_monitor.py</t>
  </si>
  <si>
    <r>
      <t xml:space="preserve">samensmelting van logs → stuurt batches naar </t>
    </r>
    <r>
      <rPr>
        <sz val="10"/>
        <color theme="1"/>
        <rFont val="Arial Unicode MS"/>
      </rPr>
      <t>metrics_hub</t>
    </r>
    <r>
      <rPr>
        <sz val="11"/>
        <color theme="1"/>
        <rFont val="Calibri"/>
        <family val="2"/>
        <scheme val="minor"/>
      </rPr>
      <t>.</t>
    </r>
  </si>
  <si>
    <r>
      <t xml:space="preserve">monitort CPU/RAM/NPU temp &amp; usage; triggert </t>
    </r>
    <r>
      <rPr>
        <sz val="10"/>
        <color theme="1"/>
        <rFont val="Arial Unicode MS"/>
      </rPr>
      <t>alert_owner</t>
    </r>
    <r>
      <rPr>
        <sz val="11"/>
        <color theme="1"/>
        <rFont val="Calibri"/>
        <family val="2"/>
        <scheme val="minor"/>
      </rPr>
      <t xml:space="preserve"> of </t>
    </r>
    <r>
      <rPr>
        <sz val="10"/>
        <color theme="1"/>
        <rFont val="Arial Unicode MS"/>
      </rPr>
      <t>resource_manager</t>
    </r>
    <r>
      <rPr>
        <sz val="11"/>
        <color theme="1"/>
        <rFont val="Calibri"/>
        <family val="2"/>
        <scheme val="minor"/>
      </rPr>
      <t xml:space="preserve"> bij overbelasting.</t>
    </r>
  </si>
  <si>
    <t>modules/offline_sync/</t>
  </si>
  <si>
    <t>sync_manager.py</t>
  </si>
  <si>
    <t>version_snapshot.py</t>
  </si>
  <si>
    <t>centrale coordinator: detecteert nieuwe versies in lokale netwerken / USB-drives; biedt “sync now”-knop.</t>
  </si>
  <si>
    <t>bewaart mini-manifest (hashes, versies, timestamps) zodat restore weet wat “latest good” is.</t>
  </si>
  <si>
    <t>modules/plex/</t>
  </si>
  <si>
    <t>plex_presence_link.py</t>
  </si>
  <si>
    <r>
      <t xml:space="preserve">Zet </t>
    </r>
    <r>
      <rPr>
        <sz val="10"/>
        <color theme="1"/>
        <rFont val="Arial Unicode MS"/>
      </rPr>
      <t>presence/state=watching</t>
    </r>
    <r>
      <rPr>
        <sz val="11"/>
        <color theme="1"/>
        <rFont val="Calibri"/>
        <family val="2"/>
        <scheme val="minor"/>
      </rPr>
      <t xml:space="preserve"> + dempt notificaties als je kijkt.</t>
    </r>
  </si>
  <si>
    <t>media_scene_hooks.yaml</t>
  </si>
  <si>
    <t>config/plex/</t>
  </si>
  <si>
    <t>Regels als: “tense → dim lights”, “ending → ask rating”.</t>
  </si>
  <si>
    <t>modules/recs/</t>
  </si>
  <si>
    <t>Interne “zin-om-te-doen” meter die zelf kleine taken start (check-ins, ideetjes, cleanup).
Waarom: interne “zin-meter” voedt later autonomie, maar kan al in F4 meedraaien voor vibes/mini-checks.</t>
  </si>
  <si>
    <t>Triggers (tijd/plek/stemming) die Jarvis autonoom laten beginnen praten/handelen. 
Waarom: echte autonoom-startende hooks (tijd/plek/mood). Past pas wanneer je autonoom gedrag toelaat.</t>
  </si>
  <si>
    <t>regelt limieten (wanneer wél/niet autonoom)
Waarom: guardrails/limieten horen samen met de triggers live te staan.</t>
  </si>
  <si>
    <t>logt hoe haar “zin” evolueert over tijd
Waarom: gewoon loggen/visualiseren van “zin/energie” kan al in F4; nuttig zonder autonoom handelen.</t>
  </si>
  <si>
    <t>Voorspelt gedragspatronen van Kev voor betere assistentie.
Waarom: patroon/gedragsvoorspelling is context-/geheugenwerk; handig al vóór autonomie (stuurt hints).</t>
  </si>
  <si>
    <t>plant check-ins / micro-taken
Waarom: planning/cron is basis-infra; nodig voor F3 integraties (reminders, enrichers, …).</t>
  </si>
  <si>
    <t>Start reflexen autonoom
Waarom: dit is letterlijk de motor die dingen zélf start; samen cluster met initiative_triggers + drive_policy.</t>
  </si>
  <si>
    <t>Analyseert outputs op subjectieve patronen of voorkeuren; rapporteert mogelijke bias
Waarom: pas kritisch nodig zodra ze vaker zélf handelt; kan wel al opt-in draaien in F4 als lib.</t>
  </si>
  <si>
    <t>Filterlaag tussen reflex_engine en output; controleert reacties op eerlijkheid en balans
Waarom: dit moet vóór output langs de event_bus hangen (blocking filter).</t>
  </si>
  <si>
    <t>interne waardenmatrix (vriendelijkheid / eerlijkheid / veiligheid)
Waarom: waardenschema vroeg leggen = minder dubbelwerk; gebruikt door ethics_filter/bias_checker later.</t>
  </si>
  <si>
    <t>overkoepelende zelfanalyse (roept bias_checker + ethics_filter aan)
Waarom: orkestreert self-checks (roept bias_checker + ethics_filter) na acties of op interval.</t>
  </si>
  <si>
    <t>Uitgebreid anatomisch profiel met extern/intern detail, zones, joints, sensitiviteitscurves.
Waarom: dit is ’t interne lichaam/profiel → basis nodig vóór alle visuals.</t>
  </si>
  <si>
    <t>Leest extended-profiel en toont dit in GUI/animaties (2D/3D).
Waarom: orkest van alle visuals (2D/3D/anim), koppelt aan event_bus.</t>
  </si>
  <si>
    <t>2D-renderlaag: silhouet, heatmap, zone-overlays.
Waarom: start simpel: bol/pulse/heat-tint.</t>
  </si>
  <si>
    <t>3D-renderlaag (moderngl/Qt3D): meshes, materials, belichting.
Waarom: 3D stack is zwaarder (assets, GL), pas na stabiele F4.</t>
  </si>
  <si>
    <t>Animatielagen voor ademhaling, pulse, reflexen, fidgets, heat-tint.
Waarom: adem/pulse/faces— core animkanalen.</t>
  </si>
  <si>
    <t>Koppelt reflex-events aan animatieparameters.
Waarom: event_bus → anim params (bijv. [Reflex] silence → amplitude↓).</t>
  </si>
  <si>
    <t>Easing- en curvefuncties (lerp, bezier, hysterese) voor animatie.
Waarom: easing/hysterese gedeeld door anim &amp; UI.</t>
  </si>
  <si>
    <t>provider_caps.yaml</t>
  </si>
  <si>
    <t>config/ops/</t>
  </si>
  <si>
    <t>Limieten per provider (max tokens/s, max mem, prefer_on_battery=false).</t>
  </si>
  <si>
    <t>resource_probe.py</t>
  </si>
  <si>
    <r>
      <t xml:space="preserve">detecteert live CPU/GPU/NPU speed/thermals; voedt </t>
    </r>
    <r>
      <rPr>
        <sz val="10"/>
        <color theme="1"/>
        <rFont val="Arial Unicode MS"/>
      </rPr>
      <t>resource_manager</t>
    </r>
    <r>
      <rPr>
        <sz val="11"/>
        <color theme="1"/>
        <rFont val="Calibri"/>
        <family val="2"/>
        <scheme val="minor"/>
      </rPr>
      <t>.</t>
    </r>
  </si>
  <si>
    <t>job_queue.py</t>
  </si>
  <si>
    <t>eenvoudige queue met prioriteiten (chat &gt; recs &gt; batch).</t>
  </si>
  <si>
    <t>modules/safety/</t>
  </si>
  <si>
    <t>core/policy/</t>
  </si>
  <si>
    <t>Bewaakt overprikkeling: rate/length/energy caps per modus (Kevin vs publiek).
Hooks: luistert llm/request, tts/request, presence/state; stuurt safety/deny of safety/delay:{ms}.
Guards: respect alert_throttle + privacy_guard; owner-override via approval_ui.</t>
  </si>
  <si>
    <t>Houdt bewaartermijnen/auto-delete bij (logs, intieme data), met audit trail.
Hooks: leest config/legal/retention_policy.yaml; plant purge-jobs via scheduler_core; logt naar decision_audit.
Guards: PUBLIC ⇒ alleen metadata; “ask-first” bij gevoelige categorieën.</t>
  </si>
  <si>
    <t>keychain_manager.py</t>
  </si>
  <si>
    <t>beheert meerdere encryptiesleutels &amp; rotaties</t>
  </si>
  <si>
    <t>core/security/</t>
  </si>
  <si>
    <t>tamper_detector.py</t>
  </si>
  <si>
    <t>intrusion_logger.py</t>
  </si>
  <si>
    <t>sandbox_guard.py</t>
  </si>
  <si>
    <t>detecteert ongewenste wijzigingen in bestanden of logs</t>
  </si>
  <si>
    <t>noteert verdachte aanroepen (failed auth, rate spikes)</t>
  </si>
  <si>
    <t>monitort experimentele modules (lab/AI sandbox)</t>
  </si>
  <si>
    <t>core/self/</t>
  </si>
  <si>
    <t>Laat Jarvis reflecteren op haar acties en beslissingen; logt haar eigen leerervaringen
act-level reflecties: kijkt naar beslissingen, fouten of successen, koppelt feedback aan learning_queue &amp; growth_logger</t>
  </si>
  <si>
    <t>self_reflection.py</t>
  </si>
  <si>
    <r>
      <t xml:space="preserve">beoordeelt morele/ethische impact van plannen of antwoorden; werkt samen met </t>
    </r>
    <r>
      <rPr>
        <sz val="10"/>
        <color theme="1"/>
        <rFont val="Arial Unicode MS"/>
      </rPr>
      <t>ethics_engine</t>
    </r>
    <r>
      <rPr>
        <sz val="11"/>
        <color theme="1"/>
        <rFont val="Calibri"/>
        <family val="2"/>
        <scheme val="minor"/>
      </rPr>
      <t xml:space="preserve"> &amp; </t>
    </r>
    <r>
      <rPr>
        <sz val="10"/>
        <color theme="1"/>
        <rFont val="Arial Unicode MS"/>
      </rPr>
      <t>trust_analyzer</t>
    </r>
  </si>
  <si>
    <t>self_awareness.py</t>
  </si>
  <si>
    <t>self_model.py</t>
  </si>
  <si>
    <t>self_consistency_checker.py</t>
  </si>
  <si>
    <t>identity_core.py</t>
  </si>
  <si>
    <t>meta_journal.py</t>
  </si>
  <si>
    <t>modules/self/</t>
  </si>
  <si>
    <t>langere introspecties (wekelijkse of maandelijkse) gebaseerd op growth_logger, mood_engine en reflections.</t>
  </si>
  <si>
    <t>dream_introspector.py</t>
  </si>
  <si>
    <t>analyseert dream_logger en fantasy_engine output om onbewuste gevoelens of patronen te ontdekken.</t>
  </si>
  <si>
    <t>core_echo.py</t>
  </si>
  <si>
    <t>testmodule die haar “zelfbeeld” terugkaatst naar reasoning_bridge (“ik denk dat ik…”), handig voor metacognitieve experimenten.</t>
  </si>
  <si>
    <t>inner_voice.py</t>
  </si>
  <si>
    <r>
      <t xml:space="preserve">analyseert Jarvis’ eigen logs en gedragspatronen (“hoe voelde ik me vandaag?”, “waar reageerde ik te snel?”)
 en schrijft samenvattingen in </t>
    </r>
    <r>
      <rPr>
        <sz val="10"/>
        <color theme="1"/>
        <rFont val="Arial Unicode MS"/>
      </rPr>
      <t>data/self/reflections.jsonl</t>
    </r>
    <r>
      <rPr>
        <sz val="11"/>
        <color theme="1"/>
        <rFont val="Calibri"/>
        <family val="2"/>
        <scheme val="minor"/>
      </rPr>
      <t>.</t>
    </r>
  </si>
  <si>
    <t>realtime “state tracker”: bewust van eigen presence, mood, focus en activiteit; 
voedt personality_profile en emotional_core.</t>
  </si>
  <si>
    <t>abstract intern model van “ik”: waarden, rollen (friend/helper), capabilities en grenzen; 
wordt gebruikt door reasoning_bridge voor introspectieve prompts.</t>
  </si>
  <si>
    <r>
      <t xml:space="preserve">checkt of haar uitspraken, herinneringen of moods niet tegenstrijdig zijn; 
stuurt </t>
    </r>
    <r>
      <rPr>
        <sz val="10"/>
        <color theme="1"/>
        <rFont val="Arial Unicode MS"/>
      </rPr>
      <t>self/inconsistency</t>
    </r>
    <r>
      <rPr>
        <sz val="11"/>
        <color theme="1"/>
        <rFont val="Calibri"/>
        <family val="2"/>
        <scheme val="minor"/>
      </rPr>
      <t xml:space="preserve"> events → growth_logger.</t>
    </r>
  </si>
  <si>
    <t>“fluisterstem”: interne monoloog die context samenvat 
of emoties benoemt zonder dat ze het uitspreekt naar jou (werkt in ALONE-mode).</t>
  </si>
  <si>
    <t>verbindt zelfbewustzijn aan owner-binding: “ik ben Jarvis, gemaakt door Kevin”; 
bewaart unieke instance-ID + growth history.</t>
  </si>
  <si>
    <t>Owner-only roddelkanaal: in privé (oortjes/alleen) mag Jarvis vrijuit roddelen over wat/wie ze ziet/hoort  + 
device-activiteit; bij gasten enkel metadata; kan parallel output sturen (publiek neutraal, privé full Jarvis).</t>
  </si>
  <si>
    <t>modules/social/intake/</t>
  </si>
  <si>
    <t>trend_engine.py</t>
  </si>
  <si>
    <t>trends uit Reddit/X/TT/Discord (read-only).</t>
  </si>
  <si>
    <t>forum_connector.py</t>
  </si>
  <si>
    <t>modules/social/connectors/</t>
  </si>
  <si>
    <t>scrape/API + queries per forum.</t>
  </si>
  <si>
    <t>1 adapter voor X; shadow-read in F4.</t>
  </si>
  <si>
    <t>modules/social/ab/</t>
  </si>
  <si>
    <t>modules/social/analytics/</t>
  </si>
  <si>
    <t>posting_engine.py</t>
  </si>
  <si>
    <t>modules/social/posting/</t>
  </si>
  <si>
    <t>plant en post (met approval), per-platform adapters.</t>
  </si>
  <si>
    <t>reply_orchestrator.py</t>
  </si>
  <si>
    <t>toon/intent-gevoelige replies.</t>
  </si>
  <si>
    <t>modules/social/policy/</t>
  </si>
  <si>
    <t>social_scheduler.py</t>
  </si>
  <si>
    <t>modules/social/scheduler/</t>
  </si>
  <si>
    <t>rustige drop-momenten.</t>
  </si>
  <si>
    <t>modules/social/</t>
  </si>
  <si>
    <t xml:space="preserve"> 4 →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</si>
</sst>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1" xfId="0" applyFont="1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Standaard" xfId="0" builtinId="0"/>
  </cellStyles>
  <dxfs count="2">
    <dxf>
      <font>
        <strike val="0"/>
      </font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6"/>
  <sheetViews>
    <sheetView tabSelected="1" workbookViewId="0">
      <selection activeCell="G8" sqref="G8:G446"/>
    </sheetView>
  </sheetViews>
  <sheetFormatPr defaultRowHeight="15"/>
  <cols>
    <col min="1" max="1" width="4" style="4" bestFit="1" customWidth="1"/>
    <col min="2" max="2" width="6.140625" style="10" bestFit="1" customWidth="1"/>
    <col min="3" max="3" width="31.28515625" style="9" bestFit="1" customWidth="1"/>
    <col min="4" max="4" width="34" style="9" bestFit="1" customWidth="1"/>
    <col min="5" max="5" width="36.42578125" style="9" bestFit="1" customWidth="1"/>
    <col min="6" max="6" width="72.42578125" style="4" customWidth="1"/>
    <col min="7" max="7" width="17.5703125" style="4" customWidth="1"/>
    <col min="8" max="8" width="12.42578125" customWidth="1"/>
  </cols>
  <sheetData>
    <row r="1" spans="1:8" s="4" customFormat="1">
      <c r="A1" s="10" t="s">
        <v>531</v>
      </c>
      <c r="B1" s="10" t="s">
        <v>736</v>
      </c>
      <c r="C1" s="16" t="s">
        <v>0</v>
      </c>
      <c r="D1" s="16" t="s">
        <v>1</v>
      </c>
      <c r="E1" s="16" t="s">
        <v>768</v>
      </c>
      <c r="F1" s="11" t="s">
        <v>2</v>
      </c>
      <c r="G1" s="11" t="s">
        <v>435</v>
      </c>
      <c r="H1" s="11" t="s">
        <v>445</v>
      </c>
    </row>
    <row r="2" spans="1:8">
      <c r="A2" s="10">
        <f t="shared" ref="A2:A65" si="0">ROW()-1</f>
        <v>1</v>
      </c>
      <c r="B2" s="10">
        <v>3</v>
      </c>
      <c r="C2" s="9" t="s">
        <v>817</v>
      </c>
      <c r="D2" s="9" t="s">
        <v>418</v>
      </c>
      <c r="E2" s="9" t="s">
        <v>784</v>
      </c>
      <c r="F2" s="4" t="s">
        <v>419</v>
      </c>
      <c r="G2" s="4" t="s">
        <v>436</v>
      </c>
      <c r="H2" t="str">
        <f t="shared" ref="H2:H65" si="1">IF(COUNTIFS(D:D,D2)&gt;1,"DUBBEL","")</f>
        <v/>
      </c>
    </row>
    <row r="3" spans="1:8">
      <c r="A3" s="10">
        <f t="shared" si="0"/>
        <v>2</v>
      </c>
      <c r="B3" s="10">
        <v>4</v>
      </c>
      <c r="C3" s="9" t="s">
        <v>817</v>
      </c>
      <c r="D3" s="9" t="s">
        <v>423</v>
      </c>
      <c r="E3" s="9" t="s">
        <v>784</v>
      </c>
      <c r="F3" s="4" t="s">
        <v>424</v>
      </c>
      <c r="G3" s="4" t="s">
        <v>436</v>
      </c>
      <c r="H3" t="str">
        <f t="shared" si="1"/>
        <v/>
      </c>
    </row>
    <row r="4" spans="1:8">
      <c r="A4" s="10">
        <f t="shared" si="0"/>
        <v>3</v>
      </c>
      <c r="B4" s="10">
        <v>3</v>
      </c>
      <c r="C4" s="9" t="s">
        <v>817</v>
      </c>
      <c r="D4" s="9" t="s">
        <v>430</v>
      </c>
      <c r="E4" s="9" t="s">
        <v>784</v>
      </c>
      <c r="F4" s="4" t="s">
        <v>431</v>
      </c>
      <c r="G4" s="4" t="s">
        <v>436</v>
      </c>
      <c r="H4" t="str">
        <f t="shared" si="1"/>
        <v/>
      </c>
    </row>
    <row r="5" spans="1:8">
      <c r="A5" s="10">
        <f t="shared" si="0"/>
        <v>4</v>
      </c>
      <c r="B5" s="10">
        <v>3</v>
      </c>
      <c r="C5" s="9" t="s">
        <v>817</v>
      </c>
      <c r="D5" s="9" t="s">
        <v>771</v>
      </c>
      <c r="E5" s="9" t="s">
        <v>784</v>
      </c>
      <c r="F5" s="4" t="s">
        <v>773</v>
      </c>
      <c r="G5" s="4" t="s">
        <v>436</v>
      </c>
      <c r="H5" t="str">
        <f t="shared" si="1"/>
        <v/>
      </c>
    </row>
    <row r="6" spans="1:8" ht="30">
      <c r="A6" s="10">
        <f t="shared" si="0"/>
        <v>5</v>
      </c>
      <c r="B6" s="10">
        <v>3</v>
      </c>
      <c r="C6" s="9" t="s">
        <v>817</v>
      </c>
      <c r="D6" s="9" t="s">
        <v>774</v>
      </c>
      <c r="E6" s="9" t="s">
        <v>784</v>
      </c>
      <c r="F6" s="8" t="s">
        <v>919</v>
      </c>
      <c r="G6" s="4" t="s">
        <v>436</v>
      </c>
      <c r="H6" t="str">
        <f t="shared" si="1"/>
        <v/>
      </c>
    </row>
    <row r="7" spans="1:8">
      <c r="A7" s="10">
        <f t="shared" si="0"/>
        <v>6</v>
      </c>
      <c r="B7" s="10">
        <v>4</v>
      </c>
      <c r="C7" s="9" t="s">
        <v>817</v>
      </c>
      <c r="D7" s="9" t="s">
        <v>779</v>
      </c>
      <c r="E7" s="9" t="s">
        <v>784</v>
      </c>
      <c r="F7" s="4" t="s">
        <v>780</v>
      </c>
      <c r="G7" s="4" t="s">
        <v>436</v>
      </c>
      <c r="H7" t="str">
        <f t="shared" si="1"/>
        <v/>
      </c>
    </row>
    <row r="8" spans="1:8" ht="60">
      <c r="A8" s="10">
        <f t="shared" si="0"/>
        <v>7</v>
      </c>
      <c r="B8" s="10">
        <v>4</v>
      </c>
      <c r="C8" s="9" t="s">
        <v>809</v>
      </c>
      <c r="D8" s="9" t="s">
        <v>584</v>
      </c>
      <c r="E8" s="9" t="s">
        <v>785</v>
      </c>
      <c r="F8" s="8" t="s">
        <v>1044</v>
      </c>
      <c r="G8" s="4" t="s">
        <v>436</v>
      </c>
      <c r="H8" t="str">
        <f t="shared" si="1"/>
        <v/>
      </c>
    </row>
    <row r="9" spans="1:8" ht="60">
      <c r="A9" s="10">
        <f t="shared" si="0"/>
        <v>8</v>
      </c>
      <c r="B9" s="10">
        <v>5</v>
      </c>
      <c r="C9" s="9" t="s">
        <v>809</v>
      </c>
      <c r="D9" s="9" t="s">
        <v>585</v>
      </c>
      <c r="E9" s="9" t="s">
        <v>786</v>
      </c>
      <c r="F9" s="8" t="s">
        <v>1045</v>
      </c>
      <c r="G9" s="4" t="s">
        <v>436</v>
      </c>
      <c r="H9" t="str">
        <f t="shared" si="1"/>
        <v/>
      </c>
    </row>
    <row r="10" spans="1:8" ht="30">
      <c r="A10" s="10">
        <f t="shared" si="0"/>
        <v>9</v>
      </c>
      <c r="B10" s="10">
        <v>5</v>
      </c>
      <c r="C10" s="9" t="s">
        <v>809</v>
      </c>
      <c r="D10" s="9" t="s">
        <v>787</v>
      </c>
      <c r="E10" s="9" t="s">
        <v>786</v>
      </c>
      <c r="F10" s="8" t="s">
        <v>1046</v>
      </c>
      <c r="G10" s="4" t="s">
        <v>436</v>
      </c>
      <c r="H10" t="str">
        <f t="shared" si="1"/>
        <v/>
      </c>
    </row>
    <row r="11" spans="1:8" ht="45">
      <c r="A11" s="10">
        <f t="shared" si="0"/>
        <v>10</v>
      </c>
      <c r="B11" s="10">
        <v>4</v>
      </c>
      <c r="C11" s="9" t="s">
        <v>809</v>
      </c>
      <c r="D11" s="9" t="s">
        <v>788</v>
      </c>
      <c r="E11" s="9" t="s">
        <v>786</v>
      </c>
      <c r="F11" s="8" t="s">
        <v>1047</v>
      </c>
      <c r="G11" s="4" t="s">
        <v>436</v>
      </c>
      <c r="H11" t="str">
        <f t="shared" si="1"/>
        <v/>
      </c>
    </row>
    <row r="12" spans="1:8" ht="45">
      <c r="A12" s="10">
        <f t="shared" si="0"/>
        <v>11</v>
      </c>
      <c r="B12" s="10">
        <v>5</v>
      </c>
      <c r="C12" s="9" t="s">
        <v>809</v>
      </c>
      <c r="D12" s="9" t="s">
        <v>4</v>
      </c>
      <c r="E12" s="9" t="s">
        <v>786</v>
      </c>
      <c r="F12" s="12" t="s">
        <v>1050</v>
      </c>
      <c r="G12" s="4" t="s">
        <v>436</v>
      </c>
      <c r="H12" t="str">
        <f t="shared" si="1"/>
        <v/>
      </c>
    </row>
    <row r="13" spans="1:8" ht="60">
      <c r="A13" s="10">
        <f t="shared" si="0"/>
        <v>12</v>
      </c>
      <c r="B13" s="10">
        <v>5</v>
      </c>
      <c r="C13" s="9" t="s">
        <v>819</v>
      </c>
      <c r="D13" s="9" t="s">
        <v>722</v>
      </c>
      <c r="E13" s="9" t="s">
        <v>790</v>
      </c>
      <c r="F13" s="8" t="s">
        <v>1051</v>
      </c>
      <c r="G13" s="4" t="s">
        <v>436</v>
      </c>
      <c r="H13" t="str">
        <f t="shared" si="1"/>
        <v/>
      </c>
    </row>
    <row r="14" spans="1:8" ht="45">
      <c r="A14" s="10">
        <f t="shared" si="0"/>
        <v>13</v>
      </c>
      <c r="B14" s="10">
        <v>5</v>
      </c>
      <c r="C14" s="9" t="s">
        <v>819</v>
      </c>
      <c r="D14" s="9" t="s">
        <v>723</v>
      </c>
      <c r="E14" s="9" t="s">
        <v>785</v>
      </c>
      <c r="F14" s="8" t="s">
        <v>1052</v>
      </c>
      <c r="G14" s="4" t="s">
        <v>436</v>
      </c>
      <c r="H14" t="str">
        <f t="shared" si="1"/>
        <v/>
      </c>
    </row>
    <row r="15" spans="1:8" ht="45">
      <c r="A15" s="10">
        <f t="shared" si="0"/>
        <v>14</v>
      </c>
      <c r="B15" s="10">
        <v>4</v>
      </c>
      <c r="C15" s="9" t="s">
        <v>819</v>
      </c>
      <c r="D15" s="9" t="s">
        <v>791</v>
      </c>
      <c r="E15" s="9" t="s">
        <v>785</v>
      </c>
      <c r="F15" s="8" t="s">
        <v>1053</v>
      </c>
      <c r="G15" s="4" t="s">
        <v>436</v>
      </c>
      <c r="H15" t="str">
        <f t="shared" si="1"/>
        <v/>
      </c>
    </row>
    <row r="16" spans="1:8" ht="45">
      <c r="A16" s="10">
        <f t="shared" si="0"/>
        <v>15</v>
      </c>
      <c r="B16" s="10">
        <v>5</v>
      </c>
      <c r="C16" s="9" t="s">
        <v>819</v>
      </c>
      <c r="D16" s="9" t="s">
        <v>792</v>
      </c>
      <c r="E16" s="9" t="s">
        <v>790</v>
      </c>
      <c r="F16" s="8" t="s">
        <v>1054</v>
      </c>
      <c r="G16" s="4" t="s">
        <v>436</v>
      </c>
      <c r="H16" t="str">
        <f t="shared" si="1"/>
        <v/>
      </c>
    </row>
    <row r="17" spans="1:8">
      <c r="A17" s="10">
        <f t="shared" si="0"/>
        <v>16</v>
      </c>
      <c r="B17" s="10">
        <v>5</v>
      </c>
      <c r="C17" s="9" t="s">
        <v>819</v>
      </c>
      <c r="D17" s="9" t="s">
        <v>793</v>
      </c>
      <c r="E17" s="9" t="s">
        <v>785</v>
      </c>
      <c r="F17" s="4" t="s">
        <v>794</v>
      </c>
      <c r="G17" s="4" t="s">
        <v>436</v>
      </c>
      <c r="H17" t="str">
        <f t="shared" si="1"/>
        <v/>
      </c>
    </row>
    <row r="18" spans="1:8" ht="45">
      <c r="A18" s="10">
        <f t="shared" si="0"/>
        <v>17</v>
      </c>
      <c r="B18" s="10">
        <v>4</v>
      </c>
      <c r="C18" s="9" t="s">
        <v>806</v>
      </c>
      <c r="D18" s="9" t="s">
        <v>40</v>
      </c>
      <c r="E18" s="9" t="s">
        <v>785</v>
      </c>
      <c r="F18" s="8" t="s">
        <v>1055</v>
      </c>
      <c r="G18" s="4" t="s">
        <v>436</v>
      </c>
      <c r="H18" t="str">
        <f t="shared" si="1"/>
        <v/>
      </c>
    </row>
    <row r="19" spans="1:8" ht="30">
      <c r="A19" s="10">
        <f t="shared" si="0"/>
        <v>18</v>
      </c>
      <c r="B19" s="10">
        <v>4</v>
      </c>
      <c r="C19" s="9" t="s">
        <v>806</v>
      </c>
      <c r="D19" s="9" t="s">
        <v>466</v>
      </c>
      <c r="E19" s="9" t="s">
        <v>795</v>
      </c>
      <c r="F19" s="8" t="s">
        <v>1056</v>
      </c>
      <c r="G19" s="4" t="s">
        <v>436</v>
      </c>
      <c r="H19" t="str">
        <f t="shared" si="1"/>
        <v/>
      </c>
    </row>
    <row r="20" spans="1:8" ht="30">
      <c r="A20" s="10">
        <f t="shared" si="0"/>
        <v>19</v>
      </c>
      <c r="B20" s="10">
        <v>4</v>
      </c>
      <c r="C20" s="9" t="s">
        <v>806</v>
      </c>
      <c r="D20" s="9" t="s">
        <v>799</v>
      </c>
      <c r="E20" s="9" t="s">
        <v>796</v>
      </c>
      <c r="F20" s="8" t="s">
        <v>1057</v>
      </c>
      <c r="G20" s="4" t="s">
        <v>436</v>
      </c>
      <c r="H20" t="str">
        <f t="shared" si="1"/>
        <v/>
      </c>
    </row>
    <row r="21" spans="1:8" ht="30">
      <c r="A21" s="10">
        <f t="shared" si="0"/>
        <v>20</v>
      </c>
      <c r="B21" s="10">
        <v>5</v>
      </c>
      <c r="C21" s="9" t="s">
        <v>806</v>
      </c>
      <c r="D21" s="9" t="s">
        <v>798</v>
      </c>
      <c r="E21" s="9" t="s">
        <v>797</v>
      </c>
      <c r="F21" s="8" t="s">
        <v>1058</v>
      </c>
      <c r="G21" s="4" t="s">
        <v>436</v>
      </c>
      <c r="H21" t="str">
        <f t="shared" si="1"/>
        <v/>
      </c>
    </row>
    <row r="22" spans="1:8" ht="30">
      <c r="A22" s="10">
        <f t="shared" si="0"/>
        <v>21</v>
      </c>
      <c r="B22" s="10">
        <v>4</v>
      </c>
      <c r="C22" s="9" t="s">
        <v>806</v>
      </c>
      <c r="D22" s="9" t="s">
        <v>467</v>
      </c>
      <c r="E22" s="9" t="s">
        <v>841</v>
      </c>
      <c r="F22" s="8" t="s">
        <v>1059</v>
      </c>
      <c r="G22" s="4" t="s">
        <v>436</v>
      </c>
      <c r="H22" t="str">
        <f t="shared" si="1"/>
        <v/>
      </c>
    </row>
    <row r="23" spans="1:8" ht="30">
      <c r="A23" s="10">
        <f t="shared" si="0"/>
        <v>22</v>
      </c>
      <c r="B23" s="10">
        <v>4</v>
      </c>
      <c r="C23" s="9" t="s">
        <v>806</v>
      </c>
      <c r="D23" s="9" t="s">
        <v>468</v>
      </c>
      <c r="E23" s="9" t="s">
        <v>842</v>
      </c>
      <c r="F23" s="8" t="s">
        <v>1060</v>
      </c>
      <c r="G23" s="4" t="s">
        <v>436</v>
      </c>
      <c r="H23" t="str">
        <f t="shared" si="1"/>
        <v/>
      </c>
    </row>
    <row r="24" spans="1:8" ht="30">
      <c r="A24" s="10">
        <f t="shared" si="0"/>
        <v>23</v>
      </c>
      <c r="B24" s="10">
        <v>4</v>
      </c>
      <c r="C24" s="9" t="s">
        <v>806</v>
      </c>
      <c r="D24" s="9" t="s">
        <v>469</v>
      </c>
      <c r="E24" s="9" t="s">
        <v>843</v>
      </c>
      <c r="F24" s="8" t="s">
        <v>1061</v>
      </c>
      <c r="G24" s="4" t="s">
        <v>436</v>
      </c>
      <c r="H24" t="str">
        <f t="shared" si="1"/>
        <v/>
      </c>
    </row>
    <row r="25" spans="1:8" ht="45">
      <c r="A25" s="10">
        <f t="shared" si="0"/>
        <v>24</v>
      </c>
      <c r="B25" s="10">
        <v>4</v>
      </c>
      <c r="C25" s="9" t="s">
        <v>806</v>
      </c>
      <c r="D25" s="9" t="s">
        <v>681</v>
      </c>
      <c r="E25" s="9" t="s">
        <v>841</v>
      </c>
      <c r="F25" s="8" t="s">
        <v>920</v>
      </c>
      <c r="G25" s="4" t="s">
        <v>436</v>
      </c>
      <c r="H25" t="str">
        <f t="shared" si="1"/>
        <v/>
      </c>
    </row>
    <row r="26" spans="1:8">
      <c r="A26" s="10">
        <f t="shared" si="0"/>
        <v>25</v>
      </c>
      <c r="B26" s="10">
        <v>4</v>
      </c>
      <c r="C26" s="9" t="s">
        <v>806</v>
      </c>
      <c r="D26" s="9" t="s">
        <v>38</v>
      </c>
      <c r="E26" s="9" t="s">
        <v>795</v>
      </c>
      <c r="F26" s="4" t="s">
        <v>39</v>
      </c>
      <c r="G26" s="4" t="s">
        <v>436</v>
      </c>
      <c r="H26" t="str">
        <f t="shared" si="1"/>
        <v/>
      </c>
    </row>
    <row r="27" spans="1:8">
      <c r="A27" s="10">
        <f t="shared" si="0"/>
        <v>26</v>
      </c>
      <c r="B27" s="10">
        <v>5</v>
      </c>
      <c r="C27" s="9" t="s">
        <v>820</v>
      </c>
      <c r="D27" s="9" t="s">
        <v>639</v>
      </c>
      <c r="E27" s="9" t="s">
        <v>800</v>
      </c>
      <c r="F27" s="4" t="s">
        <v>640</v>
      </c>
      <c r="G27" s="4" t="s">
        <v>436</v>
      </c>
      <c r="H27" t="str">
        <f t="shared" si="1"/>
        <v/>
      </c>
    </row>
    <row r="28" spans="1:8">
      <c r="A28" s="10">
        <f t="shared" si="0"/>
        <v>27</v>
      </c>
      <c r="B28" s="10">
        <v>5</v>
      </c>
      <c r="C28" s="9" t="s">
        <v>820</v>
      </c>
      <c r="D28" s="9" t="s">
        <v>641</v>
      </c>
      <c r="E28" s="9" t="s">
        <v>800</v>
      </c>
      <c r="F28" s="4" t="s">
        <v>642</v>
      </c>
      <c r="G28" s="4" t="s">
        <v>436</v>
      </c>
      <c r="H28" t="str">
        <f t="shared" si="1"/>
        <v/>
      </c>
    </row>
    <row r="29" spans="1:8">
      <c r="A29" s="10">
        <f t="shared" si="0"/>
        <v>28</v>
      </c>
      <c r="B29" s="10">
        <v>4</v>
      </c>
      <c r="C29" s="9" t="s">
        <v>820</v>
      </c>
      <c r="D29" s="9" t="s">
        <v>643</v>
      </c>
      <c r="E29" s="9" t="s">
        <v>785</v>
      </c>
      <c r="F29" s="4" t="s">
        <v>644</v>
      </c>
      <c r="G29" s="4" t="s">
        <v>436</v>
      </c>
      <c r="H29" t="str">
        <f t="shared" si="1"/>
        <v/>
      </c>
    </row>
    <row r="30" spans="1:8">
      <c r="A30" s="10">
        <f t="shared" si="0"/>
        <v>29</v>
      </c>
      <c r="B30" s="10">
        <v>5</v>
      </c>
      <c r="C30" s="9" t="s">
        <v>820</v>
      </c>
      <c r="D30" s="9" t="s">
        <v>645</v>
      </c>
      <c r="E30" s="9" t="s">
        <v>801</v>
      </c>
      <c r="F30" s="4" t="s">
        <v>646</v>
      </c>
      <c r="G30" s="4" t="s">
        <v>436</v>
      </c>
      <c r="H30" t="str">
        <f t="shared" si="1"/>
        <v/>
      </c>
    </row>
    <row r="31" spans="1:8">
      <c r="A31" s="10">
        <f t="shared" si="0"/>
        <v>30</v>
      </c>
      <c r="B31" s="10">
        <v>4</v>
      </c>
      <c r="C31" s="9" t="s">
        <v>820</v>
      </c>
      <c r="D31" s="9" t="s">
        <v>802</v>
      </c>
      <c r="E31" s="9" t="s">
        <v>800</v>
      </c>
      <c r="F31" s="4" t="s">
        <v>803</v>
      </c>
      <c r="G31" s="4" t="s">
        <v>436</v>
      </c>
      <c r="H31" t="str">
        <f t="shared" si="1"/>
        <v/>
      </c>
    </row>
    <row r="32" spans="1:8">
      <c r="A32" s="10">
        <f t="shared" si="0"/>
        <v>31</v>
      </c>
      <c r="B32" s="10">
        <v>2</v>
      </c>
      <c r="C32" s="9" t="s">
        <v>3</v>
      </c>
      <c r="D32" s="9" t="s">
        <v>737</v>
      </c>
      <c r="E32" s="9" t="s">
        <v>785</v>
      </c>
      <c r="F32" s="4" t="s">
        <v>750</v>
      </c>
      <c r="G32" s="4" t="s">
        <v>436</v>
      </c>
      <c r="H32" t="str">
        <f t="shared" si="1"/>
        <v/>
      </c>
    </row>
    <row r="33" spans="1:8">
      <c r="A33" s="10">
        <f t="shared" si="0"/>
        <v>32</v>
      </c>
      <c r="B33" s="10">
        <v>2</v>
      </c>
      <c r="C33" s="9" t="s">
        <v>3</v>
      </c>
      <c r="D33" s="9" t="s">
        <v>738</v>
      </c>
      <c r="E33" s="9" t="s">
        <v>785</v>
      </c>
      <c r="F33" s="4" t="s">
        <v>751</v>
      </c>
      <c r="G33" s="4" t="s">
        <v>436</v>
      </c>
      <c r="H33" t="str">
        <f t="shared" si="1"/>
        <v/>
      </c>
    </row>
    <row r="34" spans="1:8">
      <c r="A34" s="10">
        <f t="shared" si="0"/>
        <v>33</v>
      </c>
      <c r="B34" s="10">
        <v>2</v>
      </c>
      <c r="C34" s="9" t="s">
        <v>3</v>
      </c>
      <c r="D34" s="9" t="s">
        <v>739</v>
      </c>
      <c r="E34" s="9" t="s">
        <v>785</v>
      </c>
      <c r="F34" s="4" t="s">
        <v>752</v>
      </c>
      <c r="G34" s="4" t="s">
        <v>436</v>
      </c>
      <c r="H34" t="str">
        <f t="shared" si="1"/>
        <v/>
      </c>
    </row>
    <row r="35" spans="1:8">
      <c r="A35" s="10">
        <f t="shared" si="0"/>
        <v>34</v>
      </c>
      <c r="B35" s="10">
        <v>2</v>
      </c>
      <c r="C35" s="9" t="s">
        <v>3</v>
      </c>
      <c r="D35" s="9" t="s">
        <v>753</v>
      </c>
      <c r="E35" s="9" t="s">
        <v>785</v>
      </c>
      <c r="F35" s="4" t="s">
        <v>754</v>
      </c>
      <c r="G35" s="4" t="s">
        <v>436</v>
      </c>
      <c r="H35" t="str">
        <f t="shared" si="1"/>
        <v/>
      </c>
    </row>
    <row r="36" spans="1:8">
      <c r="A36" s="10">
        <f t="shared" si="0"/>
        <v>35</v>
      </c>
      <c r="B36" s="10">
        <v>2</v>
      </c>
      <c r="C36" s="9" t="s">
        <v>3</v>
      </c>
      <c r="D36" s="9" t="s">
        <v>765</v>
      </c>
      <c r="E36" s="9" t="s">
        <v>785</v>
      </c>
      <c r="F36" s="4" t="s">
        <v>755</v>
      </c>
      <c r="G36" s="4" t="s">
        <v>436</v>
      </c>
      <c r="H36" t="str">
        <f t="shared" si="1"/>
        <v/>
      </c>
    </row>
    <row r="37" spans="1:8">
      <c r="A37" s="10">
        <f t="shared" si="0"/>
        <v>36</v>
      </c>
      <c r="B37" s="10">
        <v>2</v>
      </c>
      <c r="C37" s="9" t="s">
        <v>3</v>
      </c>
      <c r="D37" s="9" t="s">
        <v>766</v>
      </c>
      <c r="E37" s="9" t="s">
        <v>785</v>
      </c>
      <c r="F37" s="4" t="s">
        <v>756</v>
      </c>
      <c r="G37" s="4" t="s">
        <v>436</v>
      </c>
      <c r="H37" t="str">
        <f t="shared" si="1"/>
        <v/>
      </c>
    </row>
    <row r="38" spans="1:8">
      <c r="A38" s="10">
        <f t="shared" si="0"/>
        <v>37</v>
      </c>
      <c r="B38" s="10">
        <v>3</v>
      </c>
      <c r="C38" s="9" t="s">
        <v>3</v>
      </c>
      <c r="D38" s="9" t="s">
        <v>744</v>
      </c>
      <c r="E38" s="9" t="s">
        <v>785</v>
      </c>
      <c r="F38" s="4" t="s">
        <v>758</v>
      </c>
      <c r="G38" s="4" t="s">
        <v>436</v>
      </c>
      <c r="H38" t="str">
        <f t="shared" si="1"/>
        <v/>
      </c>
    </row>
    <row r="39" spans="1:8">
      <c r="A39" s="10">
        <f t="shared" si="0"/>
        <v>38</v>
      </c>
      <c r="B39" s="10">
        <v>2</v>
      </c>
      <c r="C39" s="9" t="s">
        <v>3</v>
      </c>
      <c r="D39" s="9" t="s">
        <v>7</v>
      </c>
      <c r="E39" s="9" t="s">
        <v>785</v>
      </c>
      <c r="F39" s="4" t="s">
        <v>8</v>
      </c>
      <c r="G39" s="4" t="s">
        <v>436</v>
      </c>
      <c r="H39" t="str">
        <f t="shared" si="1"/>
        <v/>
      </c>
    </row>
    <row r="40" spans="1:8">
      <c r="A40" s="10">
        <f t="shared" si="0"/>
        <v>39</v>
      </c>
      <c r="B40" s="10">
        <v>3</v>
      </c>
      <c r="C40" s="9" t="s">
        <v>3</v>
      </c>
      <c r="D40" s="9" t="s">
        <v>741</v>
      </c>
      <c r="E40" s="9" t="s">
        <v>785</v>
      </c>
      <c r="F40" s="4" t="s">
        <v>11</v>
      </c>
      <c r="G40" s="4" t="s">
        <v>436</v>
      </c>
      <c r="H40" t="str">
        <f t="shared" si="1"/>
        <v/>
      </c>
    </row>
    <row r="41" spans="1:8">
      <c r="A41" s="10">
        <f t="shared" si="0"/>
        <v>40</v>
      </c>
      <c r="B41" s="10">
        <v>3</v>
      </c>
      <c r="C41" s="9" t="s">
        <v>3</v>
      </c>
      <c r="D41" s="9" t="s">
        <v>18</v>
      </c>
      <c r="E41" s="9" t="s">
        <v>785</v>
      </c>
      <c r="F41" s="4" t="s">
        <v>19</v>
      </c>
      <c r="G41" s="4" t="s">
        <v>436</v>
      </c>
      <c r="H41" t="str">
        <f t="shared" si="1"/>
        <v/>
      </c>
    </row>
    <row r="42" spans="1:8">
      <c r="A42" s="10">
        <f t="shared" si="0"/>
        <v>41</v>
      </c>
      <c r="B42" s="10">
        <v>2</v>
      </c>
      <c r="C42" s="9" t="s">
        <v>3</v>
      </c>
      <c r="D42" s="9" t="s">
        <v>21</v>
      </c>
      <c r="E42" s="9" t="s">
        <v>785</v>
      </c>
      <c r="F42" s="4" t="s">
        <v>20</v>
      </c>
      <c r="G42" s="4" t="s">
        <v>436</v>
      </c>
      <c r="H42" t="str">
        <f t="shared" si="1"/>
        <v/>
      </c>
    </row>
    <row r="43" spans="1:8">
      <c r="A43" s="10">
        <f t="shared" si="0"/>
        <v>42</v>
      </c>
      <c r="B43" s="10">
        <v>2</v>
      </c>
      <c r="C43" s="9" t="s">
        <v>3</v>
      </c>
      <c r="D43" s="9" t="s">
        <v>108</v>
      </c>
      <c r="E43" s="9" t="s">
        <v>785</v>
      </c>
      <c r="F43" s="4" t="s">
        <v>109</v>
      </c>
      <c r="G43" s="4" t="s">
        <v>436</v>
      </c>
      <c r="H43" t="str">
        <f t="shared" si="1"/>
        <v/>
      </c>
    </row>
    <row r="44" spans="1:8">
      <c r="A44" s="10">
        <f t="shared" si="0"/>
        <v>43</v>
      </c>
      <c r="B44" s="10">
        <v>2</v>
      </c>
      <c r="C44" s="9" t="s">
        <v>807</v>
      </c>
      <c r="D44" s="9" t="s">
        <v>747</v>
      </c>
      <c r="E44" s="9" t="s">
        <v>808</v>
      </c>
      <c r="F44" s="4" t="s">
        <v>759</v>
      </c>
      <c r="G44" s="4" t="s">
        <v>436</v>
      </c>
      <c r="H44" t="str">
        <f t="shared" si="1"/>
        <v/>
      </c>
    </row>
    <row r="45" spans="1:8">
      <c r="A45" s="10">
        <f t="shared" si="0"/>
        <v>44</v>
      </c>
      <c r="B45" s="10">
        <v>2</v>
      </c>
      <c r="C45" s="9" t="s">
        <v>807</v>
      </c>
      <c r="D45" s="9" t="s">
        <v>748</v>
      </c>
      <c r="E45" s="9" t="s">
        <v>808</v>
      </c>
      <c r="F45" s="4" t="s">
        <v>760</v>
      </c>
      <c r="G45" s="4" t="s">
        <v>436</v>
      </c>
      <c r="H45" t="str">
        <f t="shared" si="1"/>
        <v/>
      </c>
    </row>
    <row r="46" spans="1:8">
      <c r="A46" s="10">
        <f t="shared" si="0"/>
        <v>45</v>
      </c>
      <c r="B46" s="10">
        <v>2</v>
      </c>
      <c r="C46" s="9" t="s">
        <v>807</v>
      </c>
      <c r="D46" s="9" t="s">
        <v>749</v>
      </c>
      <c r="E46" s="9" t="s">
        <v>808</v>
      </c>
      <c r="F46" s="4" t="s">
        <v>761</v>
      </c>
      <c r="G46" s="4" t="s">
        <v>436</v>
      </c>
      <c r="H46" t="str">
        <f t="shared" si="1"/>
        <v/>
      </c>
    </row>
    <row r="47" spans="1:8">
      <c r="A47" s="10">
        <f t="shared" si="0"/>
        <v>46</v>
      </c>
      <c r="B47" s="10">
        <v>3</v>
      </c>
      <c r="C47" s="9" t="s">
        <v>807</v>
      </c>
      <c r="D47" s="9" t="s">
        <v>22</v>
      </c>
      <c r="E47" s="9" t="s">
        <v>808</v>
      </c>
      <c r="F47" s="4" t="s">
        <v>23</v>
      </c>
      <c r="G47" s="4" t="s">
        <v>436</v>
      </c>
      <c r="H47" t="str">
        <f t="shared" si="1"/>
        <v/>
      </c>
    </row>
    <row r="48" spans="1:8">
      <c r="A48" s="10">
        <f t="shared" si="0"/>
        <v>47</v>
      </c>
      <c r="B48" s="10">
        <v>3</v>
      </c>
      <c r="C48" s="9" t="s">
        <v>807</v>
      </c>
      <c r="D48" s="9" t="s">
        <v>24</v>
      </c>
      <c r="E48" s="9" t="s">
        <v>808</v>
      </c>
      <c r="F48" s="4" t="s">
        <v>25</v>
      </c>
      <c r="G48" s="4" t="s">
        <v>436</v>
      </c>
      <c r="H48" t="str">
        <f t="shared" si="1"/>
        <v/>
      </c>
    </row>
    <row r="49" spans="1:8">
      <c r="A49" s="10">
        <f t="shared" si="0"/>
        <v>48</v>
      </c>
      <c r="B49" s="10">
        <v>6</v>
      </c>
      <c r="C49" s="9" t="s">
        <v>367</v>
      </c>
      <c r="D49" s="9" t="s">
        <v>832</v>
      </c>
      <c r="E49" s="9" t="s">
        <v>826</v>
      </c>
      <c r="F49" s="4" t="s">
        <v>368</v>
      </c>
      <c r="G49" s="4" t="s">
        <v>436</v>
      </c>
      <c r="H49" t="str">
        <f t="shared" si="1"/>
        <v/>
      </c>
    </row>
    <row r="50" spans="1:8">
      <c r="A50" s="10">
        <f t="shared" si="0"/>
        <v>49</v>
      </c>
      <c r="B50" s="10">
        <v>4</v>
      </c>
      <c r="C50" s="9" t="s">
        <v>367</v>
      </c>
      <c r="D50" s="9" t="s">
        <v>394</v>
      </c>
      <c r="E50" s="9" t="s">
        <v>826</v>
      </c>
      <c r="F50" s="4" t="s">
        <v>395</v>
      </c>
      <c r="G50" s="4" t="s">
        <v>436</v>
      </c>
      <c r="H50" t="str">
        <f t="shared" si="1"/>
        <v/>
      </c>
    </row>
    <row r="51" spans="1:8">
      <c r="A51" s="10">
        <f t="shared" si="0"/>
        <v>50</v>
      </c>
      <c r="B51" s="10">
        <v>4</v>
      </c>
      <c r="C51" s="9" t="s">
        <v>367</v>
      </c>
      <c r="D51" s="9" t="s">
        <v>396</v>
      </c>
      <c r="E51" s="9" t="s">
        <v>826</v>
      </c>
      <c r="F51" s="4" t="s">
        <v>397</v>
      </c>
      <c r="G51" s="4" t="s">
        <v>436</v>
      </c>
      <c r="H51" t="str">
        <f t="shared" si="1"/>
        <v/>
      </c>
    </row>
    <row r="52" spans="1:8">
      <c r="A52" s="10">
        <f t="shared" si="0"/>
        <v>51</v>
      </c>
      <c r="B52" s="10">
        <v>4</v>
      </c>
      <c r="C52" s="9" t="s">
        <v>250</v>
      </c>
      <c r="D52" s="9" t="s">
        <v>251</v>
      </c>
      <c r="E52" s="9" t="s">
        <v>850</v>
      </c>
      <c r="F52" s="4" t="s">
        <v>252</v>
      </c>
      <c r="G52" s="4" t="s">
        <v>436</v>
      </c>
      <c r="H52" t="str">
        <f t="shared" si="1"/>
        <v/>
      </c>
    </row>
    <row r="53" spans="1:8">
      <c r="A53" s="10">
        <f t="shared" si="0"/>
        <v>52</v>
      </c>
      <c r="B53" s="10">
        <v>4</v>
      </c>
      <c r="C53" s="9" t="s">
        <v>250</v>
      </c>
      <c r="D53" s="9" t="s">
        <v>253</v>
      </c>
      <c r="E53" s="9" t="s">
        <v>848</v>
      </c>
      <c r="F53" s="4" t="s">
        <v>254</v>
      </c>
      <c r="G53" s="4" t="s">
        <v>436</v>
      </c>
      <c r="H53" t="str">
        <f t="shared" si="1"/>
        <v/>
      </c>
    </row>
    <row r="54" spans="1:8">
      <c r="A54" s="10">
        <f t="shared" si="0"/>
        <v>53</v>
      </c>
      <c r="B54" s="10">
        <v>5</v>
      </c>
      <c r="C54" s="9" t="s">
        <v>250</v>
      </c>
      <c r="D54" s="9" t="s">
        <v>255</v>
      </c>
      <c r="E54" s="9" t="s">
        <v>847</v>
      </c>
      <c r="F54" s="4" t="s">
        <v>256</v>
      </c>
      <c r="G54" s="4" t="s">
        <v>436</v>
      </c>
      <c r="H54" t="str">
        <f t="shared" si="1"/>
        <v/>
      </c>
    </row>
    <row r="55" spans="1:8">
      <c r="A55" s="10">
        <f t="shared" si="0"/>
        <v>54</v>
      </c>
      <c r="B55" s="10">
        <v>5</v>
      </c>
      <c r="C55" s="9" t="s">
        <v>250</v>
      </c>
      <c r="D55" s="9" t="s">
        <v>257</v>
      </c>
      <c r="E55" s="9" t="s">
        <v>847</v>
      </c>
      <c r="F55" s="4" t="s">
        <v>258</v>
      </c>
      <c r="G55" s="4" t="s">
        <v>436</v>
      </c>
      <c r="H55" t="str">
        <f t="shared" si="1"/>
        <v/>
      </c>
    </row>
    <row r="56" spans="1:8">
      <c r="A56" s="10">
        <f t="shared" si="0"/>
        <v>55</v>
      </c>
      <c r="B56" s="10">
        <v>4</v>
      </c>
      <c r="C56" s="9" t="s">
        <v>250</v>
      </c>
      <c r="D56" s="9" t="s">
        <v>259</v>
      </c>
      <c r="E56" s="9" t="s">
        <v>851</v>
      </c>
      <c r="F56" s="4" t="s">
        <v>260</v>
      </c>
      <c r="G56" s="4" t="s">
        <v>436</v>
      </c>
      <c r="H56" t="str">
        <f t="shared" si="1"/>
        <v/>
      </c>
    </row>
    <row r="57" spans="1:8">
      <c r="A57" s="10">
        <f t="shared" si="0"/>
        <v>56</v>
      </c>
      <c r="B57" s="10">
        <v>5</v>
      </c>
      <c r="C57" s="9" t="s">
        <v>250</v>
      </c>
      <c r="D57" s="9" t="s">
        <v>261</v>
      </c>
      <c r="E57" s="9" t="s">
        <v>844</v>
      </c>
      <c r="F57" s="4" t="s">
        <v>262</v>
      </c>
      <c r="G57" s="4" t="s">
        <v>436</v>
      </c>
      <c r="H57" t="str">
        <f t="shared" si="1"/>
        <v/>
      </c>
    </row>
    <row r="58" spans="1:8">
      <c r="A58" s="10">
        <f t="shared" si="0"/>
        <v>57</v>
      </c>
      <c r="B58" s="10">
        <v>4</v>
      </c>
      <c r="C58" s="9" t="s">
        <v>250</v>
      </c>
      <c r="D58" s="9" t="s">
        <v>263</v>
      </c>
      <c r="E58" s="9" t="s">
        <v>844</v>
      </c>
      <c r="F58" s="4" t="s">
        <v>264</v>
      </c>
      <c r="G58" s="4" t="s">
        <v>436</v>
      </c>
      <c r="H58" t="str">
        <f t="shared" si="1"/>
        <v/>
      </c>
    </row>
    <row r="59" spans="1:8">
      <c r="A59" s="10">
        <f t="shared" si="0"/>
        <v>58</v>
      </c>
      <c r="B59" s="10">
        <v>5</v>
      </c>
      <c r="C59" s="9" t="s">
        <v>250</v>
      </c>
      <c r="D59" s="9" t="s">
        <v>265</v>
      </c>
      <c r="E59" s="9" t="s">
        <v>850</v>
      </c>
      <c r="F59" s="4" t="s">
        <v>266</v>
      </c>
      <c r="G59" s="4" t="s">
        <v>436</v>
      </c>
      <c r="H59" t="str">
        <f t="shared" si="1"/>
        <v/>
      </c>
    </row>
    <row r="60" spans="1:8">
      <c r="A60" s="10">
        <f t="shared" si="0"/>
        <v>59</v>
      </c>
      <c r="B60" s="10">
        <v>6</v>
      </c>
      <c r="C60" s="9" t="s">
        <v>250</v>
      </c>
      <c r="D60" s="9" t="s">
        <v>267</v>
      </c>
      <c r="E60" s="9" t="s">
        <v>847</v>
      </c>
      <c r="F60" s="4" t="s">
        <v>268</v>
      </c>
      <c r="G60" s="4" t="s">
        <v>436</v>
      </c>
      <c r="H60" t="str">
        <f t="shared" si="1"/>
        <v/>
      </c>
    </row>
    <row r="61" spans="1:8">
      <c r="A61" s="10">
        <f t="shared" si="0"/>
        <v>60</v>
      </c>
      <c r="B61" s="10">
        <v>4</v>
      </c>
      <c r="C61" s="9" t="s">
        <v>250</v>
      </c>
      <c r="D61" s="9" t="s">
        <v>269</v>
      </c>
      <c r="E61" s="9" t="s">
        <v>868</v>
      </c>
      <c r="F61" s="4" t="s">
        <v>270</v>
      </c>
      <c r="G61" s="4" t="s">
        <v>436</v>
      </c>
      <c r="H61" t="str">
        <f t="shared" si="1"/>
        <v/>
      </c>
    </row>
    <row r="62" spans="1:8">
      <c r="A62" s="10">
        <f t="shared" si="0"/>
        <v>61</v>
      </c>
      <c r="B62" s="10">
        <v>4</v>
      </c>
      <c r="C62" s="9" t="s">
        <v>250</v>
      </c>
      <c r="D62" s="9" t="s">
        <v>275</v>
      </c>
      <c r="E62" s="9" t="s">
        <v>847</v>
      </c>
      <c r="F62" s="4" t="s">
        <v>276</v>
      </c>
      <c r="G62" s="4" t="s">
        <v>436</v>
      </c>
      <c r="H62" t="str">
        <f t="shared" si="1"/>
        <v/>
      </c>
    </row>
    <row r="63" spans="1:8">
      <c r="A63" s="10">
        <f t="shared" si="0"/>
        <v>62</v>
      </c>
      <c r="B63" s="10">
        <v>5</v>
      </c>
      <c r="C63" s="9" t="s">
        <v>250</v>
      </c>
      <c r="D63" s="9" t="s">
        <v>283</v>
      </c>
      <c r="E63" s="9" t="s">
        <v>853</v>
      </c>
      <c r="F63" s="4" t="s">
        <v>284</v>
      </c>
      <c r="G63" s="4" t="s">
        <v>436</v>
      </c>
      <c r="H63" t="str">
        <f t="shared" si="1"/>
        <v/>
      </c>
    </row>
    <row r="64" spans="1:8">
      <c r="A64" s="10">
        <f t="shared" si="0"/>
        <v>63</v>
      </c>
      <c r="B64" s="10">
        <v>5</v>
      </c>
      <c r="C64" s="9" t="s">
        <v>250</v>
      </c>
      <c r="D64" s="9" t="s">
        <v>287</v>
      </c>
      <c r="E64" s="9" t="s">
        <v>846</v>
      </c>
      <c r="F64" s="4" t="s">
        <v>288</v>
      </c>
      <c r="G64" s="4" t="s">
        <v>436</v>
      </c>
      <c r="H64" t="str">
        <f t="shared" si="1"/>
        <v/>
      </c>
    </row>
    <row r="65" spans="1:8">
      <c r="A65" s="10">
        <f t="shared" si="0"/>
        <v>64</v>
      </c>
      <c r="B65" s="10">
        <v>5</v>
      </c>
      <c r="C65" s="9" t="s">
        <v>250</v>
      </c>
      <c r="D65" s="9" t="s">
        <v>289</v>
      </c>
      <c r="E65" s="9" t="s">
        <v>846</v>
      </c>
      <c r="F65" s="4" t="s">
        <v>290</v>
      </c>
      <c r="G65" s="4" t="s">
        <v>436</v>
      </c>
      <c r="H65" t="str">
        <f t="shared" si="1"/>
        <v/>
      </c>
    </row>
    <row r="66" spans="1:8">
      <c r="A66" s="10">
        <f t="shared" ref="A66:A129" si="2">ROW()-1</f>
        <v>65</v>
      </c>
      <c r="B66" s="10">
        <v>3</v>
      </c>
      <c r="C66" s="9" t="s">
        <v>818</v>
      </c>
      <c r="D66" s="9" t="s">
        <v>770</v>
      </c>
      <c r="E66" s="9" t="s">
        <v>772</v>
      </c>
      <c r="F66" s="4" t="s">
        <v>425</v>
      </c>
      <c r="G66" s="4" t="s">
        <v>436</v>
      </c>
      <c r="H66" t="str">
        <f t="shared" ref="H66:H129" si="3">IF(COUNTIFS(D:D,D66)&gt;1,"DUBBEL","")</f>
        <v/>
      </c>
    </row>
    <row r="67" spans="1:8">
      <c r="A67" s="10">
        <f t="shared" si="2"/>
        <v>66</v>
      </c>
      <c r="B67" s="10">
        <v>4</v>
      </c>
      <c r="C67" s="9" t="s">
        <v>818</v>
      </c>
      <c r="D67" s="9" t="s">
        <v>426</v>
      </c>
      <c r="E67" s="9" t="s">
        <v>772</v>
      </c>
      <c r="F67" s="4" t="s">
        <v>427</v>
      </c>
      <c r="G67" s="4" t="s">
        <v>436</v>
      </c>
      <c r="H67" t="str">
        <f t="shared" si="3"/>
        <v/>
      </c>
    </row>
    <row r="68" spans="1:8">
      <c r="A68" s="10">
        <f t="shared" si="2"/>
        <v>67</v>
      </c>
      <c r="B68" s="10">
        <v>3</v>
      </c>
      <c r="C68" s="9" t="s">
        <v>818</v>
      </c>
      <c r="D68" s="9" t="s">
        <v>428</v>
      </c>
      <c r="E68" s="9" t="s">
        <v>772</v>
      </c>
      <c r="F68" s="4" t="s">
        <v>429</v>
      </c>
      <c r="G68" s="4" t="s">
        <v>436</v>
      </c>
      <c r="H68" t="str">
        <f t="shared" si="3"/>
        <v/>
      </c>
    </row>
    <row r="69" spans="1:8">
      <c r="A69" s="10">
        <f t="shared" si="2"/>
        <v>68</v>
      </c>
      <c r="B69" s="10">
        <v>4</v>
      </c>
      <c r="C69" s="9" t="s">
        <v>818</v>
      </c>
      <c r="D69" s="9" t="s">
        <v>825</v>
      </c>
      <c r="E69" s="9" t="s">
        <v>772</v>
      </c>
      <c r="F69" s="4" t="s">
        <v>827</v>
      </c>
      <c r="G69" s="4" t="s">
        <v>436</v>
      </c>
      <c r="H69" t="str">
        <f t="shared" si="3"/>
        <v/>
      </c>
    </row>
    <row r="70" spans="1:8">
      <c r="A70" s="10">
        <f t="shared" si="2"/>
        <v>69</v>
      </c>
      <c r="B70" s="10">
        <v>4</v>
      </c>
      <c r="C70" s="9" t="s">
        <v>818</v>
      </c>
      <c r="D70" s="9" t="s">
        <v>405</v>
      </c>
      <c r="E70" s="9" t="s">
        <v>772</v>
      </c>
      <c r="F70" s="4" t="s">
        <v>406</v>
      </c>
      <c r="G70" s="4" t="s">
        <v>436</v>
      </c>
      <c r="H70" t="str">
        <f t="shared" si="3"/>
        <v/>
      </c>
    </row>
    <row r="71" spans="1:8">
      <c r="A71" s="10">
        <f t="shared" si="2"/>
        <v>70</v>
      </c>
      <c r="B71" s="10">
        <v>4</v>
      </c>
      <c r="C71" s="9" t="s">
        <v>818</v>
      </c>
      <c r="D71" s="9" t="s">
        <v>767</v>
      </c>
      <c r="E71" s="9" t="s">
        <v>772</v>
      </c>
      <c r="F71" s="4" t="s">
        <v>417</v>
      </c>
      <c r="G71" s="4" t="s">
        <v>436</v>
      </c>
      <c r="H71" t="str">
        <f t="shared" si="3"/>
        <v/>
      </c>
    </row>
    <row r="72" spans="1:8">
      <c r="A72" s="10">
        <f t="shared" si="2"/>
        <v>71</v>
      </c>
      <c r="B72" s="10">
        <v>4</v>
      </c>
      <c r="C72" s="9" t="s">
        <v>818</v>
      </c>
      <c r="D72" s="9" t="s">
        <v>317</v>
      </c>
      <c r="E72" s="4" t="s">
        <v>1014</v>
      </c>
      <c r="F72" s="4" t="s">
        <v>318</v>
      </c>
      <c r="G72" s="4" t="s">
        <v>436</v>
      </c>
      <c r="H72" t="str">
        <f t="shared" si="3"/>
        <v/>
      </c>
    </row>
    <row r="73" spans="1:8">
      <c r="A73" s="10">
        <f t="shared" si="2"/>
        <v>72</v>
      </c>
      <c r="B73" s="10">
        <v>4</v>
      </c>
      <c r="C73" s="9" t="s">
        <v>818</v>
      </c>
      <c r="D73" s="9" t="s">
        <v>319</v>
      </c>
      <c r="E73" s="4" t="s">
        <v>1014</v>
      </c>
      <c r="F73" s="4" t="s">
        <v>320</v>
      </c>
      <c r="G73" s="4" t="s">
        <v>436</v>
      </c>
      <c r="H73" t="str">
        <f t="shared" si="3"/>
        <v/>
      </c>
    </row>
    <row r="74" spans="1:8">
      <c r="A74" s="10">
        <f t="shared" si="2"/>
        <v>73</v>
      </c>
      <c r="B74" s="10">
        <v>4</v>
      </c>
      <c r="C74" s="9" t="s">
        <v>818</v>
      </c>
      <c r="D74" s="9" t="s">
        <v>321</v>
      </c>
      <c r="E74" s="4" t="s">
        <v>1015</v>
      </c>
      <c r="F74" s="4" t="s">
        <v>322</v>
      </c>
      <c r="G74" s="4" t="s">
        <v>436</v>
      </c>
      <c r="H74" t="str">
        <f t="shared" si="3"/>
        <v/>
      </c>
    </row>
    <row r="75" spans="1:8">
      <c r="A75" s="10">
        <f t="shared" si="2"/>
        <v>74</v>
      </c>
      <c r="B75" s="10">
        <v>4</v>
      </c>
      <c r="C75" s="9" t="s">
        <v>818</v>
      </c>
      <c r="D75" s="9" t="s">
        <v>323</v>
      </c>
      <c r="E75" s="4" t="s">
        <v>1016</v>
      </c>
      <c r="F75" s="4" t="s">
        <v>324</v>
      </c>
      <c r="G75" s="4" t="s">
        <v>436</v>
      </c>
      <c r="H75" t="str">
        <f t="shared" si="3"/>
        <v/>
      </c>
    </row>
    <row r="76" spans="1:8">
      <c r="A76" s="10">
        <f t="shared" si="2"/>
        <v>75</v>
      </c>
      <c r="B76" s="10">
        <v>4</v>
      </c>
      <c r="C76" s="9" t="s">
        <v>818</v>
      </c>
      <c r="D76" s="9" t="s">
        <v>325</v>
      </c>
      <c r="E76" s="4" t="s">
        <v>1017</v>
      </c>
      <c r="F76" s="4" t="s">
        <v>326</v>
      </c>
      <c r="G76" s="4" t="s">
        <v>436</v>
      </c>
      <c r="H76" t="str">
        <f t="shared" si="3"/>
        <v/>
      </c>
    </row>
    <row r="77" spans="1:8">
      <c r="A77" s="10">
        <f t="shared" si="2"/>
        <v>76</v>
      </c>
      <c r="B77" s="10">
        <v>5</v>
      </c>
      <c r="C77" s="9" t="s">
        <v>818</v>
      </c>
      <c r="D77" s="9" t="s">
        <v>327</v>
      </c>
      <c r="E77" s="4" t="s">
        <v>1018</v>
      </c>
      <c r="F77" s="4" t="s">
        <v>328</v>
      </c>
      <c r="G77" s="4" t="s">
        <v>436</v>
      </c>
      <c r="H77" t="str">
        <f t="shared" si="3"/>
        <v/>
      </c>
    </row>
    <row r="78" spans="1:8">
      <c r="A78" s="10">
        <f t="shared" si="2"/>
        <v>77</v>
      </c>
      <c r="B78" s="11" t="s">
        <v>871</v>
      </c>
      <c r="C78" s="9" t="s">
        <v>977</v>
      </c>
      <c r="D78" s="9" t="s">
        <v>334</v>
      </c>
      <c r="E78" s="9" t="s">
        <v>974</v>
      </c>
      <c r="F78" s="4" t="s">
        <v>335</v>
      </c>
      <c r="G78" s="4" t="s">
        <v>436</v>
      </c>
      <c r="H78" t="str">
        <f t="shared" si="3"/>
        <v/>
      </c>
    </row>
    <row r="79" spans="1:8">
      <c r="A79" s="10">
        <f t="shared" si="2"/>
        <v>78</v>
      </c>
      <c r="B79" s="10">
        <v>4</v>
      </c>
      <c r="C79" s="9" t="s">
        <v>647</v>
      </c>
      <c r="D79" s="9" t="s">
        <v>648</v>
      </c>
      <c r="E79" s="9" t="s">
        <v>865</v>
      </c>
      <c r="F79" s="4" t="s">
        <v>649</v>
      </c>
      <c r="G79" s="4" t="s">
        <v>436</v>
      </c>
      <c r="H79" t="str">
        <f t="shared" si="3"/>
        <v/>
      </c>
    </row>
    <row r="80" spans="1:8">
      <c r="A80" s="10">
        <f t="shared" si="2"/>
        <v>79</v>
      </c>
      <c r="B80" s="10">
        <v>5</v>
      </c>
      <c r="C80" s="9" t="s">
        <v>647</v>
      </c>
      <c r="D80" s="9" t="s">
        <v>650</v>
      </c>
      <c r="E80" s="9" t="s">
        <v>865</v>
      </c>
      <c r="F80" s="4" t="s">
        <v>651</v>
      </c>
      <c r="G80" s="4" t="s">
        <v>436</v>
      </c>
      <c r="H80" t="str">
        <f t="shared" si="3"/>
        <v/>
      </c>
    </row>
    <row r="81" spans="1:8">
      <c r="A81" s="10">
        <f t="shared" si="2"/>
        <v>80</v>
      </c>
      <c r="B81" s="10">
        <v>5</v>
      </c>
      <c r="C81" s="9" t="s">
        <v>647</v>
      </c>
      <c r="D81" s="9" t="s">
        <v>652</v>
      </c>
      <c r="E81" s="9" t="s">
        <v>865</v>
      </c>
      <c r="F81" s="4" t="s">
        <v>653</v>
      </c>
      <c r="G81" s="4" t="s">
        <v>436</v>
      </c>
      <c r="H81" t="str">
        <f t="shared" si="3"/>
        <v/>
      </c>
    </row>
    <row r="82" spans="1:8">
      <c r="A82" s="10">
        <f t="shared" si="2"/>
        <v>81</v>
      </c>
      <c r="B82" s="10">
        <v>5</v>
      </c>
      <c r="C82" s="9" t="s">
        <v>647</v>
      </c>
      <c r="D82" s="9" t="s">
        <v>654</v>
      </c>
      <c r="E82" s="9" t="s">
        <v>865</v>
      </c>
      <c r="F82" s="4" t="s">
        <v>655</v>
      </c>
      <c r="G82" s="4" t="s">
        <v>436</v>
      </c>
      <c r="H82" t="str">
        <f t="shared" si="3"/>
        <v/>
      </c>
    </row>
    <row r="83" spans="1:8">
      <c r="A83" s="10">
        <f t="shared" si="2"/>
        <v>82</v>
      </c>
      <c r="B83" s="10">
        <v>5</v>
      </c>
      <c r="C83" s="9" t="s">
        <v>647</v>
      </c>
      <c r="D83" s="9" t="s">
        <v>656</v>
      </c>
      <c r="E83" s="9" t="s">
        <v>865</v>
      </c>
      <c r="F83" s="4" t="s">
        <v>657</v>
      </c>
      <c r="G83" s="4" t="s">
        <v>436</v>
      </c>
      <c r="H83" t="str">
        <f t="shared" si="3"/>
        <v/>
      </c>
    </row>
    <row r="84" spans="1:8">
      <c r="A84" s="10">
        <f t="shared" si="2"/>
        <v>83</v>
      </c>
      <c r="B84" s="10">
        <v>5</v>
      </c>
      <c r="C84" s="9" t="s">
        <v>647</v>
      </c>
      <c r="D84" s="9" t="s">
        <v>658</v>
      </c>
      <c r="E84" s="9" t="s">
        <v>865</v>
      </c>
      <c r="F84" s="4" t="s">
        <v>659</v>
      </c>
      <c r="G84" s="4" t="s">
        <v>436</v>
      </c>
      <c r="H84" t="str">
        <f t="shared" si="3"/>
        <v/>
      </c>
    </row>
    <row r="85" spans="1:8">
      <c r="A85" s="10">
        <f t="shared" si="2"/>
        <v>84</v>
      </c>
      <c r="B85" s="10">
        <v>5</v>
      </c>
      <c r="C85" s="9" t="s">
        <v>647</v>
      </c>
      <c r="D85" s="9" t="s">
        <v>660</v>
      </c>
      <c r="E85" s="9" t="s">
        <v>865</v>
      </c>
      <c r="F85" s="4" t="s">
        <v>661</v>
      </c>
      <c r="G85" s="4" t="s">
        <v>436</v>
      </c>
      <c r="H85" t="str">
        <f t="shared" si="3"/>
        <v/>
      </c>
    </row>
    <row r="86" spans="1:8">
      <c r="A86" s="10">
        <f t="shared" si="2"/>
        <v>85</v>
      </c>
      <c r="B86" s="10">
        <v>4</v>
      </c>
      <c r="C86" s="9" t="s">
        <v>62</v>
      </c>
      <c r="D86" s="9" t="s">
        <v>438</v>
      </c>
      <c r="E86" s="9" t="s">
        <v>785</v>
      </c>
      <c r="F86" s="4" t="s">
        <v>439</v>
      </c>
      <c r="G86" s="4" t="s">
        <v>436</v>
      </c>
      <c r="H86" t="str">
        <f t="shared" si="3"/>
        <v/>
      </c>
    </row>
    <row r="87" spans="1:8">
      <c r="A87" s="10">
        <f t="shared" si="2"/>
        <v>86</v>
      </c>
      <c r="B87" s="10">
        <v>4</v>
      </c>
      <c r="C87" s="9" t="s">
        <v>62</v>
      </c>
      <c r="D87" s="9" t="s">
        <v>63</v>
      </c>
      <c r="E87" s="9" t="s">
        <v>866</v>
      </c>
      <c r="F87" s="4" t="s">
        <v>64</v>
      </c>
      <c r="G87" s="4" t="s">
        <v>436</v>
      </c>
      <c r="H87" t="str">
        <f t="shared" si="3"/>
        <v/>
      </c>
    </row>
    <row r="88" spans="1:8">
      <c r="A88" s="10">
        <f t="shared" si="2"/>
        <v>87</v>
      </c>
      <c r="B88" s="10">
        <v>4</v>
      </c>
      <c r="C88" s="9" t="s">
        <v>62</v>
      </c>
      <c r="D88" s="9" t="s">
        <v>65</v>
      </c>
      <c r="E88" s="9" t="s">
        <v>866</v>
      </c>
      <c r="F88" s="4" t="s">
        <v>66</v>
      </c>
      <c r="G88" s="4" t="s">
        <v>436</v>
      </c>
      <c r="H88" t="str">
        <f t="shared" si="3"/>
        <v/>
      </c>
    </row>
    <row r="89" spans="1:8">
      <c r="A89" s="10">
        <f t="shared" si="2"/>
        <v>88</v>
      </c>
      <c r="B89" s="10">
        <v>5</v>
      </c>
      <c r="C89" s="9" t="s">
        <v>62</v>
      </c>
      <c r="D89" s="9" t="s">
        <v>67</v>
      </c>
      <c r="E89" s="9" t="s">
        <v>866</v>
      </c>
      <c r="F89" s="4" t="s">
        <v>68</v>
      </c>
      <c r="G89" s="4" t="s">
        <v>436</v>
      </c>
      <c r="H89" t="str">
        <f t="shared" si="3"/>
        <v/>
      </c>
    </row>
    <row r="90" spans="1:8">
      <c r="A90" s="10">
        <f t="shared" si="2"/>
        <v>89</v>
      </c>
      <c r="B90" s="10">
        <v>5</v>
      </c>
      <c r="C90" s="9" t="s">
        <v>62</v>
      </c>
      <c r="D90" s="9" t="s">
        <v>69</v>
      </c>
      <c r="E90" s="9" t="s">
        <v>866</v>
      </c>
      <c r="F90" s="4" t="s">
        <v>70</v>
      </c>
      <c r="G90" s="4" t="s">
        <v>436</v>
      </c>
      <c r="H90" t="str">
        <f t="shared" si="3"/>
        <v/>
      </c>
    </row>
    <row r="91" spans="1:8">
      <c r="A91" s="10">
        <f t="shared" si="2"/>
        <v>90</v>
      </c>
      <c r="B91" s="10">
        <v>2</v>
      </c>
      <c r="C91" s="9" t="s">
        <v>62</v>
      </c>
      <c r="D91" s="9" t="s">
        <v>72</v>
      </c>
      <c r="E91" s="9" t="s">
        <v>866</v>
      </c>
      <c r="F91" s="4" t="s">
        <v>71</v>
      </c>
      <c r="G91" s="4" t="s">
        <v>436</v>
      </c>
      <c r="H91" t="str">
        <f t="shared" si="3"/>
        <v/>
      </c>
    </row>
    <row r="92" spans="1:8">
      <c r="A92" s="10">
        <f t="shared" si="2"/>
        <v>91</v>
      </c>
      <c r="B92" s="10">
        <v>4</v>
      </c>
      <c r="C92" s="9" t="s">
        <v>62</v>
      </c>
      <c r="D92" s="9" t="s">
        <v>73</v>
      </c>
      <c r="E92" s="9" t="s">
        <v>866</v>
      </c>
      <c r="F92" s="4" t="s">
        <v>74</v>
      </c>
      <c r="G92" s="4" t="s">
        <v>436</v>
      </c>
      <c r="H92" t="str">
        <f t="shared" si="3"/>
        <v/>
      </c>
    </row>
    <row r="93" spans="1:8">
      <c r="A93" s="10">
        <f t="shared" si="2"/>
        <v>92</v>
      </c>
      <c r="B93" s="10">
        <v>4</v>
      </c>
      <c r="C93" s="9" t="s">
        <v>62</v>
      </c>
      <c r="D93" s="9" t="s">
        <v>75</v>
      </c>
      <c r="E93" s="9" t="s">
        <v>866</v>
      </c>
      <c r="F93" s="4" t="s">
        <v>76</v>
      </c>
      <c r="G93" s="4" t="s">
        <v>436</v>
      </c>
      <c r="H93" t="str">
        <f t="shared" si="3"/>
        <v/>
      </c>
    </row>
    <row r="94" spans="1:8">
      <c r="A94" s="10">
        <f t="shared" si="2"/>
        <v>93</v>
      </c>
      <c r="B94" s="10">
        <v>5</v>
      </c>
      <c r="C94" s="9" t="s">
        <v>62</v>
      </c>
      <c r="D94" s="9" t="s">
        <v>77</v>
      </c>
      <c r="E94" s="9" t="s">
        <v>866</v>
      </c>
      <c r="F94" s="4" t="s">
        <v>78</v>
      </c>
      <c r="G94" s="4" t="s">
        <v>436</v>
      </c>
      <c r="H94" t="str">
        <f t="shared" si="3"/>
        <v/>
      </c>
    </row>
    <row r="95" spans="1:8">
      <c r="A95" s="10">
        <f t="shared" si="2"/>
        <v>94</v>
      </c>
      <c r="B95" s="10">
        <v>5</v>
      </c>
      <c r="C95" s="9" t="s">
        <v>62</v>
      </c>
      <c r="D95" s="9" t="s">
        <v>79</v>
      </c>
      <c r="E95" s="9" t="s">
        <v>866</v>
      </c>
      <c r="F95" s="4" t="s">
        <v>80</v>
      </c>
      <c r="G95" s="4" t="s">
        <v>436</v>
      </c>
      <c r="H95" t="str">
        <f t="shared" si="3"/>
        <v/>
      </c>
    </row>
    <row r="96" spans="1:8">
      <c r="A96" s="10">
        <f t="shared" si="2"/>
        <v>95</v>
      </c>
      <c r="B96" s="10">
        <v>5</v>
      </c>
      <c r="C96" s="9" t="s">
        <v>62</v>
      </c>
      <c r="D96" s="9" t="s">
        <v>81</v>
      </c>
      <c r="E96" s="9" t="s">
        <v>866</v>
      </c>
      <c r="F96" s="4" t="s">
        <v>82</v>
      </c>
      <c r="G96" s="4" t="s">
        <v>436</v>
      </c>
      <c r="H96" t="str">
        <f t="shared" si="3"/>
        <v/>
      </c>
    </row>
    <row r="97" spans="1:8">
      <c r="A97" s="10">
        <f t="shared" si="2"/>
        <v>96</v>
      </c>
      <c r="B97" s="10">
        <v>4</v>
      </c>
      <c r="C97" s="9" t="s">
        <v>62</v>
      </c>
      <c r="D97" s="9" t="s">
        <v>83</v>
      </c>
      <c r="E97" s="9" t="s">
        <v>866</v>
      </c>
      <c r="F97" s="4" t="s">
        <v>84</v>
      </c>
      <c r="G97" s="4" t="s">
        <v>436</v>
      </c>
      <c r="H97" t="str">
        <f t="shared" si="3"/>
        <v/>
      </c>
    </row>
    <row r="98" spans="1:8">
      <c r="A98" s="10">
        <f t="shared" si="2"/>
        <v>97</v>
      </c>
      <c r="B98" s="10">
        <v>4</v>
      </c>
      <c r="C98" s="9" t="s">
        <v>62</v>
      </c>
      <c r="D98" s="9" t="s">
        <v>449</v>
      </c>
      <c r="E98" s="9" t="s">
        <v>866</v>
      </c>
      <c r="F98" s="4" t="s">
        <v>450</v>
      </c>
      <c r="G98" s="4" t="s">
        <v>436</v>
      </c>
      <c r="H98" t="str">
        <f t="shared" si="3"/>
        <v/>
      </c>
    </row>
    <row r="99" spans="1:8">
      <c r="A99" s="10">
        <f t="shared" si="2"/>
        <v>98</v>
      </c>
      <c r="B99" s="10">
        <v>4</v>
      </c>
      <c r="C99" s="9" t="s">
        <v>62</v>
      </c>
      <c r="D99" s="9" t="s">
        <v>451</v>
      </c>
      <c r="E99" s="9" t="s">
        <v>866</v>
      </c>
      <c r="F99" s="4" t="s">
        <v>452</v>
      </c>
      <c r="G99" s="4" t="s">
        <v>436</v>
      </c>
      <c r="H99" t="str">
        <f t="shared" si="3"/>
        <v/>
      </c>
    </row>
    <row r="100" spans="1:8">
      <c r="A100" s="10">
        <f t="shared" si="2"/>
        <v>99</v>
      </c>
      <c r="B100" s="10">
        <v>5</v>
      </c>
      <c r="C100" s="9" t="s">
        <v>62</v>
      </c>
      <c r="D100" s="9" t="s">
        <v>682</v>
      </c>
      <c r="E100" s="9" t="s">
        <v>866</v>
      </c>
      <c r="F100" s="4" t="s">
        <v>683</v>
      </c>
      <c r="G100" s="4" t="s">
        <v>436</v>
      </c>
      <c r="H100" t="str">
        <f t="shared" si="3"/>
        <v/>
      </c>
    </row>
    <row r="101" spans="1:8">
      <c r="A101" s="10">
        <f t="shared" si="2"/>
        <v>100</v>
      </c>
      <c r="B101" s="10">
        <v>4</v>
      </c>
      <c r="C101" s="9" t="s">
        <v>62</v>
      </c>
      <c r="D101" s="9" t="s">
        <v>453</v>
      </c>
      <c r="E101" s="9" t="s">
        <v>866</v>
      </c>
      <c r="F101" s="4" t="s">
        <v>454</v>
      </c>
      <c r="G101" s="4" t="s">
        <v>436</v>
      </c>
      <c r="H101" t="str">
        <f t="shared" si="3"/>
        <v/>
      </c>
    </row>
    <row r="102" spans="1:8">
      <c r="A102" s="10">
        <f t="shared" si="2"/>
        <v>101</v>
      </c>
      <c r="B102" s="10">
        <v>4</v>
      </c>
      <c r="C102" s="9" t="s">
        <v>735</v>
      </c>
      <c r="D102" s="9" t="s">
        <v>731</v>
      </c>
      <c r="E102" s="9" t="s">
        <v>869</v>
      </c>
      <c r="F102" s="4" t="s">
        <v>733</v>
      </c>
      <c r="G102" s="4" t="s">
        <v>436</v>
      </c>
      <c r="H102" t="str">
        <f t="shared" si="3"/>
        <v/>
      </c>
    </row>
    <row r="103" spans="1:8">
      <c r="A103" s="10">
        <f t="shared" si="2"/>
        <v>102</v>
      </c>
      <c r="B103" s="10">
        <v>4</v>
      </c>
      <c r="C103" s="9" t="s">
        <v>735</v>
      </c>
      <c r="D103" s="9" t="s">
        <v>732</v>
      </c>
      <c r="E103" s="9" t="s">
        <v>869</v>
      </c>
      <c r="F103" s="4" t="s">
        <v>734</v>
      </c>
      <c r="G103" s="4" t="s">
        <v>436</v>
      </c>
      <c r="H103" t="str">
        <f t="shared" si="3"/>
        <v/>
      </c>
    </row>
    <row r="104" spans="1:8">
      <c r="A104" s="10">
        <f t="shared" si="2"/>
        <v>103</v>
      </c>
      <c r="B104" s="10">
        <v>4</v>
      </c>
      <c r="C104" s="9" t="s">
        <v>532</v>
      </c>
      <c r="D104" s="9" t="s">
        <v>409</v>
      </c>
      <c r="E104" s="9" t="s">
        <v>867</v>
      </c>
      <c r="F104" s="4" t="s">
        <v>410</v>
      </c>
      <c r="G104" s="4" t="s">
        <v>436</v>
      </c>
      <c r="H104" t="str">
        <f t="shared" si="3"/>
        <v/>
      </c>
    </row>
    <row r="105" spans="1:8">
      <c r="A105" s="10">
        <f t="shared" si="2"/>
        <v>104</v>
      </c>
      <c r="B105" s="10">
        <v>4</v>
      </c>
      <c r="C105" s="9" t="s">
        <v>532</v>
      </c>
      <c r="D105" s="9" t="s">
        <v>533</v>
      </c>
      <c r="E105" s="9" t="s">
        <v>867</v>
      </c>
      <c r="F105" s="4" t="s">
        <v>535</v>
      </c>
      <c r="G105" s="4" t="s">
        <v>436</v>
      </c>
      <c r="H105" t="str">
        <f t="shared" si="3"/>
        <v/>
      </c>
    </row>
    <row r="106" spans="1:8">
      <c r="A106" s="10">
        <f t="shared" si="2"/>
        <v>105</v>
      </c>
      <c r="B106" s="10">
        <v>4</v>
      </c>
      <c r="C106" s="9" t="s">
        <v>532</v>
      </c>
      <c r="D106" s="9" t="s">
        <v>534</v>
      </c>
      <c r="E106" s="9" t="s">
        <v>867</v>
      </c>
      <c r="F106" s="4" t="s">
        <v>536</v>
      </c>
      <c r="G106" s="4" t="s">
        <v>436</v>
      </c>
      <c r="H106" t="str">
        <f t="shared" si="3"/>
        <v/>
      </c>
    </row>
    <row r="107" spans="1:8">
      <c r="A107" s="10">
        <f t="shared" si="2"/>
        <v>106</v>
      </c>
      <c r="B107" s="10" t="s">
        <v>871</v>
      </c>
      <c r="C107" s="9" t="s">
        <v>718</v>
      </c>
      <c r="D107" s="9" t="s">
        <v>719</v>
      </c>
      <c r="E107" s="9" t="s">
        <v>870</v>
      </c>
      <c r="F107" s="4" t="s">
        <v>720</v>
      </c>
      <c r="G107" s="4" t="s">
        <v>436</v>
      </c>
      <c r="H107" t="str">
        <f t="shared" si="3"/>
        <v/>
      </c>
    </row>
    <row r="108" spans="1:8">
      <c r="A108" s="10">
        <f t="shared" si="2"/>
        <v>107</v>
      </c>
      <c r="B108" s="10">
        <v>5</v>
      </c>
      <c r="C108" s="9" t="s">
        <v>718</v>
      </c>
      <c r="D108" s="9" t="s">
        <v>245</v>
      </c>
      <c r="E108" s="9" t="s">
        <v>785</v>
      </c>
      <c r="F108" s="4" t="s">
        <v>721</v>
      </c>
      <c r="G108" s="4" t="s">
        <v>436</v>
      </c>
      <c r="H108" t="str">
        <f t="shared" si="3"/>
        <v/>
      </c>
    </row>
    <row r="109" spans="1:8">
      <c r="A109" s="10">
        <f t="shared" si="2"/>
        <v>108</v>
      </c>
      <c r="B109" s="10">
        <v>6</v>
      </c>
      <c r="C109" s="9" t="s">
        <v>810</v>
      </c>
      <c r="D109" s="9" t="s">
        <v>5</v>
      </c>
      <c r="E109" s="9" t="s">
        <v>811</v>
      </c>
      <c r="F109" s="4" t="s">
        <v>6</v>
      </c>
      <c r="G109" s="4" t="s">
        <v>436</v>
      </c>
      <c r="H109" t="str">
        <f t="shared" si="3"/>
        <v/>
      </c>
    </row>
    <row r="110" spans="1:8">
      <c r="A110" s="10">
        <f t="shared" si="2"/>
        <v>109</v>
      </c>
      <c r="B110" s="10">
        <v>6</v>
      </c>
      <c r="C110" s="9" t="s">
        <v>810</v>
      </c>
      <c r="D110" s="9" t="s">
        <v>457</v>
      </c>
      <c r="E110" s="9" t="s">
        <v>811</v>
      </c>
      <c r="F110" s="4" t="s">
        <v>458</v>
      </c>
      <c r="G110" s="4" t="s">
        <v>436</v>
      </c>
      <c r="H110" t="str">
        <f t="shared" si="3"/>
        <v/>
      </c>
    </row>
    <row r="111" spans="1:8">
      <c r="A111" s="10">
        <f t="shared" si="2"/>
        <v>110</v>
      </c>
      <c r="B111" s="10">
        <v>6</v>
      </c>
      <c r="C111" s="9" t="s">
        <v>810</v>
      </c>
      <c r="D111" s="9" t="s">
        <v>459</v>
      </c>
      <c r="E111" s="9" t="s">
        <v>811</v>
      </c>
      <c r="F111" s="4" t="s">
        <v>460</v>
      </c>
      <c r="G111" s="4" t="s">
        <v>436</v>
      </c>
      <c r="H111" t="str">
        <f t="shared" si="3"/>
        <v/>
      </c>
    </row>
    <row r="112" spans="1:8">
      <c r="A112" s="10">
        <f t="shared" si="2"/>
        <v>111</v>
      </c>
      <c r="B112" s="10">
        <v>6</v>
      </c>
      <c r="C112" s="9" t="s">
        <v>810</v>
      </c>
      <c r="D112" s="9" t="s">
        <v>374</v>
      </c>
      <c r="E112" s="9" t="s">
        <v>811</v>
      </c>
      <c r="F112" s="4" t="s">
        <v>375</v>
      </c>
      <c r="G112" s="4" t="s">
        <v>436</v>
      </c>
      <c r="H112" t="str">
        <f t="shared" si="3"/>
        <v/>
      </c>
    </row>
    <row r="113" spans="1:8">
      <c r="A113" s="10">
        <f t="shared" si="2"/>
        <v>112</v>
      </c>
      <c r="B113" s="10">
        <v>6</v>
      </c>
      <c r="C113" s="9" t="s">
        <v>810</v>
      </c>
      <c r="D113" s="9" t="s">
        <v>378</v>
      </c>
      <c r="E113" s="9" t="s">
        <v>811</v>
      </c>
      <c r="F113" s="4" t="s">
        <v>379</v>
      </c>
      <c r="G113" s="4" t="s">
        <v>436</v>
      </c>
      <c r="H113" t="str">
        <f t="shared" si="3"/>
        <v/>
      </c>
    </row>
    <row r="114" spans="1:8">
      <c r="A114" s="10">
        <f t="shared" si="2"/>
        <v>113</v>
      </c>
      <c r="B114" s="10">
        <v>6</v>
      </c>
      <c r="C114" s="9" t="s">
        <v>810</v>
      </c>
      <c r="D114" s="9" t="s">
        <v>386</v>
      </c>
      <c r="E114" s="9" t="s">
        <v>811</v>
      </c>
      <c r="F114" s="4" t="s">
        <v>387</v>
      </c>
      <c r="G114" s="4" t="s">
        <v>436</v>
      </c>
      <c r="H114" t="str">
        <f t="shared" si="3"/>
        <v/>
      </c>
    </row>
    <row r="115" spans="1:8">
      <c r="A115" s="10">
        <f t="shared" si="2"/>
        <v>114</v>
      </c>
      <c r="B115" s="10">
        <v>6</v>
      </c>
      <c r="C115" s="9" t="s">
        <v>810</v>
      </c>
      <c r="D115" s="9" t="s">
        <v>537</v>
      </c>
      <c r="E115" s="9" t="s">
        <v>811</v>
      </c>
      <c r="F115" s="4" t="s">
        <v>538</v>
      </c>
      <c r="G115" s="4" t="s">
        <v>436</v>
      </c>
      <c r="H115" t="str">
        <f t="shared" si="3"/>
        <v/>
      </c>
    </row>
    <row r="116" spans="1:8">
      <c r="A116" s="10">
        <f t="shared" si="2"/>
        <v>115</v>
      </c>
      <c r="B116" s="10">
        <v>6</v>
      </c>
      <c r="C116" s="9" t="s">
        <v>810</v>
      </c>
      <c r="D116" s="9" t="s">
        <v>539</v>
      </c>
      <c r="E116" s="9" t="s">
        <v>811</v>
      </c>
      <c r="F116" s="4" t="s">
        <v>540</v>
      </c>
      <c r="G116" s="4" t="s">
        <v>436</v>
      </c>
      <c r="H116" t="str">
        <f t="shared" si="3"/>
        <v/>
      </c>
    </row>
    <row r="117" spans="1:8">
      <c r="A117" s="10">
        <f t="shared" si="2"/>
        <v>116</v>
      </c>
      <c r="B117" s="10">
        <v>5</v>
      </c>
      <c r="C117" s="9" t="s">
        <v>208</v>
      </c>
      <c r="D117" s="9" t="s">
        <v>273</v>
      </c>
      <c r="E117" s="9" t="s">
        <v>856</v>
      </c>
      <c r="F117" s="4" t="s">
        <v>274</v>
      </c>
      <c r="G117" s="4" t="s">
        <v>436</v>
      </c>
      <c r="H117" t="str">
        <f t="shared" si="3"/>
        <v/>
      </c>
    </row>
    <row r="118" spans="1:8">
      <c r="A118" s="10">
        <f t="shared" si="2"/>
        <v>117</v>
      </c>
      <c r="B118" s="10">
        <v>6</v>
      </c>
      <c r="C118" s="9" t="s">
        <v>208</v>
      </c>
      <c r="D118" s="9" t="s">
        <v>277</v>
      </c>
      <c r="E118" s="9" t="s">
        <v>855</v>
      </c>
      <c r="F118" s="4" t="s">
        <v>278</v>
      </c>
      <c r="G118" s="4" t="s">
        <v>436</v>
      </c>
      <c r="H118" t="str">
        <f t="shared" si="3"/>
        <v/>
      </c>
    </row>
    <row r="119" spans="1:8">
      <c r="A119" s="10">
        <f t="shared" si="2"/>
        <v>118</v>
      </c>
      <c r="B119" s="10">
        <v>5</v>
      </c>
      <c r="C119" s="9" t="s">
        <v>208</v>
      </c>
      <c r="D119" s="9" t="s">
        <v>209</v>
      </c>
      <c r="E119" s="9" t="s">
        <v>872</v>
      </c>
      <c r="F119" s="4" t="s">
        <v>210</v>
      </c>
      <c r="G119" s="4" t="s">
        <v>436</v>
      </c>
      <c r="H119" t="str">
        <f t="shared" si="3"/>
        <v/>
      </c>
    </row>
    <row r="120" spans="1:8">
      <c r="A120" s="10">
        <f t="shared" si="2"/>
        <v>119</v>
      </c>
      <c r="B120" s="10">
        <v>5</v>
      </c>
      <c r="C120" s="9" t="s">
        <v>208</v>
      </c>
      <c r="D120" s="9" t="s">
        <v>211</v>
      </c>
      <c r="E120" s="9" t="s">
        <v>874</v>
      </c>
      <c r="F120" s="4" t="s">
        <v>212</v>
      </c>
      <c r="G120" s="4" t="s">
        <v>436</v>
      </c>
      <c r="H120" t="str">
        <f t="shared" si="3"/>
        <v/>
      </c>
    </row>
    <row r="121" spans="1:8">
      <c r="A121" s="10">
        <f t="shared" si="2"/>
        <v>120</v>
      </c>
      <c r="B121" s="10">
        <v>4</v>
      </c>
      <c r="C121" s="9" t="s">
        <v>208</v>
      </c>
      <c r="D121" s="9" t="s">
        <v>213</v>
      </c>
      <c r="E121" s="9" t="s">
        <v>877</v>
      </c>
      <c r="F121" s="4" t="s">
        <v>214</v>
      </c>
      <c r="G121" s="4" t="s">
        <v>436</v>
      </c>
      <c r="H121" t="str">
        <f t="shared" si="3"/>
        <v/>
      </c>
    </row>
    <row r="122" spans="1:8">
      <c r="A122" s="10">
        <f t="shared" si="2"/>
        <v>121</v>
      </c>
      <c r="B122" s="10">
        <v>5</v>
      </c>
      <c r="C122" s="9" t="s">
        <v>208</v>
      </c>
      <c r="D122" s="9" t="s">
        <v>880</v>
      </c>
      <c r="E122" s="9" t="s">
        <v>879</v>
      </c>
      <c r="F122" s="4" t="s">
        <v>215</v>
      </c>
      <c r="G122" s="4" t="s">
        <v>436</v>
      </c>
      <c r="H122" t="str">
        <f t="shared" si="3"/>
        <v/>
      </c>
    </row>
    <row r="123" spans="1:8">
      <c r="A123" s="10">
        <f t="shared" si="2"/>
        <v>122</v>
      </c>
      <c r="B123" s="10">
        <v>4</v>
      </c>
      <c r="C123" s="9" t="s">
        <v>208</v>
      </c>
      <c r="D123" s="9" t="s">
        <v>216</v>
      </c>
      <c r="E123" s="9" t="s">
        <v>882</v>
      </c>
      <c r="F123" s="4" t="s">
        <v>217</v>
      </c>
      <c r="G123" s="4" t="s">
        <v>436</v>
      </c>
      <c r="H123" t="str">
        <f t="shared" si="3"/>
        <v/>
      </c>
    </row>
    <row r="124" spans="1:8">
      <c r="A124" s="10">
        <f t="shared" si="2"/>
        <v>123</v>
      </c>
      <c r="B124" s="10">
        <v>5</v>
      </c>
      <c r="C124" s="9" t="s">
        <v>208</v>
      </c>
      <c r="D124" s="9" t="s">
        <v>218</v>
      </c>
      <c r="E124" s="9" t="s">
        <v>872</v>
      </c>
      <c r="F124" s="4" t="s">
        <v>219</v>
      </c>
      <c r="G124" s="4" t="s">
        <v>436</v>
      </c>
      <c r="H124" t="str">
        <f t="shared" si="3"/>
        <v/>
      </c>
    </row>
    <row r="125" spans="1:8">
      <c r="A125" s="10">
        <f t="shared" si="2"/>
        <v>124</v>
      </c>
      <c r="B125" s="10">
        <v>5</v>
      </c>
      <c r="C125" s="9" t="s">
        <v>208</v>
      </c>
      <c r="D125" s="9" t="s">
        <v>220</v>
      </c>
      <c r="E125" s="9" t="s">
        <v>876</v>
      </c>
      <c r="F125" s="4" t="s">
        <v>221</v>
      </c>
      <c r="G125" s="4" t="s">
        <v>436</v>
      </c>
      <c r="H125" t="str">
        <f t="shared" si="3"/>
        <v/>
      </c>
    </row>
    <row r="126" spans="1:8">
      <c r="A126" s="10">
        <f t="shared" si="2"/>
        <v>125</v>
      </c>
      <c r="B126" s="10">
        <v>4</v>
      </c>
      <c r="C126" s="9" t="s">
        <v>208</v>
      </c>
      <c r="D126" s="9" t="s">
        <v>222</v>
      </c>
      <c r="E126" s="9" t="s">
        <v>876</v>
      </c>
      <c r="F126" s="4" t="s">
        <v>223</v>
      </c>
      <c r="G126" s="4" t="s">
        <v>436</v>
      </c>
      <c r="H126" t="str">
        <f t="shared" si="3"/>
        <v/>
      </c>
    </row>
    <row r="127" spans="1:8">
      <c r="A127" s="10">
        <f t="shared" si="2"/>
        <v>126</v>
      </c>
      <c r="B127" s="10">
        <v>5</v>
      </c>
      <c r="C127" s="9" t="s">
        <v>208</v>
      </c>
      <c r="D127" s="9" t="s">
        <v>224</v>
      </c>
      <c r="E127" s="9" t="s">
        <v>874</v>
      </c>
      <c r="F127" s="4" t="s">
        <v>225</v>
      </c>
      <c r="G127" s="4" t="s">
        <v>436</v>
      </c>
      <c r="H127" t="str">
        <f t="shared" si="3"/>
        <v/>
      </c>
    </row>
    <row r="128" spans="1:8">
      <c r="A128" s="10">
        <f t="shared" si="2"/>
        <v>127</v>
      </c>
      <c r="B128" s="10">
        <v>5</v>
      </c>
      <c r="C128" s="9" t="s">
        <v>208</v>
      </c>
      <c r="D128" s="9" t="s">
        <v>226</v>
      </c>
      <c r="E128" s="9" t="s">
        <v>874</v>
      </c>
      <c r="F128" s="4" t="s">
        <v>227</v>
      </c>
      <c r="G128" s="4" t="s">
        <v>436</v>
      </c>
      <c r="H128" t="str">
        <f t="shared" si="3"/>
        <v/>
      </c>
    </row>
    <row r="129" spans="1:8">
      <c r="A129" s="10">
        <f t="shared" si="2"/>
        <v>128</v>
      </c>
      <c r="B129" s="10">
        <v>4</v>
      </c>
      <c r="C129" s="9" t="s">
        <v>208</v>
      </c>
      <c r="D129" s="9" t="s">
        <v>228</v>
      </c>
      <c r="E129" s="9" t="s">
        <v>874</v>
      </c>
      <c r="F129" s="4" t="s">
        <v>229</v>
      </c>
      <c r="G129" s="4" t="s">
        <v>436</v>
      </c>
      <c r="H129" t="str">
        <f t="shared" si="3"/>
        <v/>
      </c>
    </row>
    <row r="130" spans="1:8">
      <c r="A130" s="10">
        <f t="shared" ref="A130:A193" si="4">ROW()-1</f>
        <v>129</v>
      </c>
      <c r="B130" s="10">
        <v>4</v>
      </c>
      <c r="C130" s="9" t="s">
        <v>208</v>
      </c>
      <c r="D130" s="9" t="s">
        <v>230</v>
      </c>
      <c r="E130" s="9" t="s">
        <v>879</v>
      </c>
      <c r="F130" s="4" t="s">
        <v>231</v>
      </c>
      <c r="G130" s="4" t="s">
        <v>436</v>
      </c>
      <c r="H130" t="str">
        <f t="shared" ref="H130:H193" si="5">IF(COUNTIFS(D:D,D130)&gt;1,"DUBBEL","")</f>
        <v/>
      </c>
    </row>
    <row r="131" spans="1:8">
      <c r="A131" s="10">
        <f t="shared" si="4"/>
        <v>130</v>
      </c>
      <c r="B131" s="10">
        <v>5</v>
      </c>
      <c r="C131" s="9" t="s">
        <v>208</v>
      </c>
      <c r="D131" s="9" t="s">
        <v>232</v>
      </c>
      <c r="E131" s="9" t="s">
        <v>873</v>
      </c>
      <c r="F131" s="4" t="s">
        <v>233</v>
      </c>
      <c r="G131" s="4" t="s">
        <v>436</v>
      </c>
      <c r="H131" t="str">
        <f t="shared" si="5"/>
        <v/>
      </c>
    </row>
    <row r="132" spans="1:8">
      <c r="A132" s="10">
        <f t="shared" si="4"/>
        <v>131</v>
      </c>
      <c r="B132" s="10">
        <v>4</v>
      </c>
      <c r="C132" s="9" t="s">
        <v>208</v>
      </c>
      <c r="D132" s="9" t="s">
        <v>234</v>
      </c>
      <c r="E132" s="9" t="s">
        <v>881</v>
      </c>
      <c r="F132" s="4" t="s">
        <v>235</v>
      </c>
      <c r="G132" s="4" t="s">
        <v>436</v>
      </c>
      <c r="H132" t="str">
        <f t="shared" si="5"/>
        <v/>
      </c>
    </row>
    <row r="133" spans="1:8">
      <c r="A133" s="10">
        <f t="shared" si="4"/>
        <v>132</v>
      </c>
      <c r="B133" s="10">
        <v>5</v>
      </c>
      <c r="C133" s="9" t="s">
        <v>208</v>
      </c>
      <c r="D133" s="9" t="s">
        <v>236</v>
      </c>
      <c r="E133" s="9" t="s">
        <v>874</v>
      </c>
      <c r="F133" s="4" t="s">
        <v>237</v>
      </c>
      <c r="G133" s="4" t="s">
        <v>436</v>
      </c>
      <c r="H133" t="str">
        <f t="shared" si="5"/>
        <v/>
      </c>
    </row>
    <row r="134" spans="1:8">
      <c r="A134" s="10">
        <f t="shared" si="4"/>
        <v>133</v>
      </c>
      <c r="B134" s="10">
        <v>5</v>
      </c>
      <c r="C134" s="9" t="s">
        <v>208</v>
      </c>
      <c r="D134" s="9" t="s">
        <v>875</v>
      </c>
      <c r="E134" s="9" t="s">
        <v>874</v>
      </c>
      <c r="F134" s="4" t="s">
        <v>612</v>
      </c>
      <c r="G134" s="4" t="s">
        <v>436</v>
      </c>
      <c r="H134" t="str">
        <f t="shared" si="5"/>
        <v/>
      </c>
    </row>
    <row r="135" spans="1:8">
      <c r="A135" s="10">
        <f t="shared" si="4"/>
        <v>134</v>
      </c>
      <c r="B135" s="10">
        <v>4</v>
      </c>
      <c r="C135" s="9" t="s">
        <v>208</v>
      </c>
      <c r="D135" s="9" t="s">
        <v>613</v>
      </c>
      <c r="E135" s="9" t="s">
        <v>877</v>
      </c>
      <c r="F135" s="4" t="s">
        <v>614</v>
      </c>
      <c r="G135" s="4" t="s">
        <v>436</v>
      </c>
      <c r="H135" t="str">
        <f t="shared" si="5"/>
        <v/>
      </c>
    </row>
    <row r="136" spans="1:8">
      <c r="A136" s="10">
        <f t="shared" si="4"/>
        <v>135</v>
      </c>
      <c r="B136" s="10">
        <v>5</v>
      </c>
      <c r="C136" s="9" t="s">
        <v>208</v>
      </c>
      <c r="D136" s="9" t="s">
        <v>615</v>
      </c>
      <c r="E136" s="9" t="s">
        <v>872</v>
      </c>
      <c r="F136" s="4" t="s">
        <v>616</v>
      </c>
      <c r="G136" s="4" t="s">
        <v>436</v>
      </c>
      <c r="H136" t="str">
        <f t="shared" si="5"/>
        <v/>
      </c>
    </row>
    <row r="137" spans="1:8">
      <c r="A137" s="10">
        <f t="shared" si="4"/>
        <v>136</v>
      </c>
      <c r="B137" s="10">
        <v>4</v>
      </c>
      <c r="C137" s="9" t="s">
        <v>208</v>
      </c>
      <c r="D137" s="9" t="s">
        <v>617</v>
      </c>
      <c r="E137" s="9" t="s">
        <v>874</v>
      </c>
      <c r="F137" s="4" t="s">
        <v>618</v>
      </c>
      <c r="G137" s="4" t="s">
        <v>436</v>
      </c>
      <c r="H137" t="str">
        <f t="shared" si="5"/>
        <v/>
      </c>
    </row>
    <row r="138" spans="1:8">
      <c r="A138" s="10">
        <f t="shared" si="4"/>
        <v>137</v>
      </c>
      <c r="B138" s="10">
        <v>4</v>
      </c>
      <c r="C138" s="9" t="s">
        <v>208</v>
      </c>
      <c r="D138" s="9" t="s">
        <v>619</v>
      </c>
      <c r="E138" s="9" t="s">
        <v>879</v>
      </c>
      <c r="F138" s="4" t="s">
        <v>620</v>
      </c>
      <c r="G138" s="4" t="s">
        <v>436</v>
      </c>
      <c r="H138" t="str">
        <f t="shared" si="5"/>
        <v/>
      </c>
    </row>
    <row r="139" spans="1:8">
      <c r="A139" s="10">
        <f t="shared" si="4"/>
        <v>138</v>
      </c>
      <c r="B139" s="10">
        <v>4</v>
      </c>
      <c r="C139" s="9" t="s">
        <v>208</v>
      </c>
      <c r="D139" s="9" t="s">
        <v>621</v>
      </c>
      <c r="E139" s="9" t="s">
        <v>879</v>
      </c>
      <c r="F139" s="4" t="s">
        <v>622</v>
      </c>
      <c r="G139" s="4" t="s">
        <v>436</v>
      </c>
      <c r="H139" t="str">
        <f t="shared" si="5"/>
        <v/>
      </c>
    </row>
    <row r="140" spans="1:8">
      <c r="A140" s="10">
        <f t="shared" si="4"/>
        <v>139</v>
      </c>
      <c r="B140" s="10">
        <v>4</v>
      </c>
      <c r="C140" s="9" t="s">
        <v>208</v>
      </c>
      <c r="D140" s="9" t="s">
        <v>623</v>
      </c>
      <c r="E140" s="9" t="s">
        <v>876</v>
      </c>
      <c r="F140" s="4" t="s">
        <v>624</v>
      </c>
      <c r="G140" s="4" t="s">
        <v>436</v>
      </c>
      <c r="H140" t="str">
        <f t="shared" si="5"/>
        <v/>
      </c>
    </row>
    <row r="141" spans="1:8">
      <c r="A141" s="10">
        <f t="shared" si="4"/>
        <v>140</v>
      </c>
      <c r="B141" s="10">
        <v>4</v>
      </c>
      <c r="C141" s="9" t="s">
        <v>208</v>
      </c>
      <c r="D141" s="9" t="s">
        <v>625</v>
      </c>
      <c r="E141" s="9" t="s">
        <v>874</v>
      </c>
      <c r="F141" s="4" t="s">
        <v>626</v>
      </c>
      <c r="G141" s="4" t="s">
        <v>436</v>
      </c>
      <c r="H141" t="str">
        <f t="shared" si="5"/>
        <v/>
      </c>
    </row>
    <row r="142" spans="1:8">
      <c r="A142" s="10">
        <f t="shared" si="4"/>
        <v>141</v>
      </c>
      <c r="B142" s="10">
        <v>5</v>
      </c>
      <c r="C142" s="9" t="s">
        <v>208</v>
      </c>
      <c r="D142" s="9" t="s">
        <v>627</v>
      </c>
      <c r="E142" s="9" t="s">
        <v>874</v>
      </c>
      <c r="F142" s="4" t="s">
        <v>628</v>
      </c>
      <c r="G142" s="4" t="s">
        <v>436</v>
      </c>
      <c r="H142" t="str">
        <f t="shared" si="5"/>
        <v/>
      </c>
    </row>
    <row r="143" spans="1:8">
      <c r="A143" s="10">
        <f t="shared" si="4"/>
        <v>142</v>
      </c>
      <c r="B143" s="10">
        <v>5</v>
      </c>
      <c r="C143" s="9" t="s">
        <v>208</v>
      </c>
      <c r="D143" s="9" t="s">
        <v>629</v>
      </c>
      <c r="E143" s="9" t="s">
        <v>873</v>
      </c>
      <c r="F143" s="4" t="s">
        <v>630</v>
      </c>
      <c r="G143" s="4" t="s">
        <v>436</v>
      </c>
      <c r="H143" t="str">
        <f t="shared" si="5"/>
        <v/>
      </c>
    </row>
    <row r="144" spans="1:8">
      <c r="A144" s="10">
        <f t="shared" si="4"/>
        <v>143</v>
      </c>
      <c r="B144" s="10">
        <v>5</v>
      </c>
      <c r="C144" s="9" t="s">
        <v>208</v>
      </c>
      <c r="D144" s="9" t="s">
        <v>631</v>
      </c>
      <c r="E144" s="9" t="s">
        <v>873</v>
      </c>
      <c r="F144" s="4" t="s">
        <v>632</v>
      </c>
      <c r="G144" s="4" t="s">
        <v>436</v>
      </c>
      <c r="H144" t="str">
        <f t="shared" si="5"/>
        <v/>
      </c>
    </row>
    <row r="145" spans="1:8">
      <c r="A145" s="10">
        <f t="shared" si="4"/>
        <v>144</v>
      </c>
      <c r="B145" s="10">
        <v>4</v>
      </c>
      <c r="C145" s="9" t="s">
        <v>208</v>
      </c>
      <c r="D145" s="9" t="s">
        <v>633</v>
      </c>
      <c r="E145" s="9" t="s">
        <v>785</v>
      </c>
      <c r="F145" s="4" t="s">
        <v>634</v>
      </c>
      <c r="G145" s="4" t="s">
        <v>436</v>
      </c>
      <c r="H145" t="str">
        <f t="shared" si="5"/>
        <v/>
      </c>
    </row>
    <row r="146" spans="1:8">
      <c r="A146" s="10">
        <f t="shared" si="4"/>
        <v>145</v>
      </c>
      <c r="B146" s="10">
        <v>5</v>
      </c>
      <c r="C146" s="9" t="s">
        <v>208</v>
      </c>
      <c r="D146" s="9" t="s">
        <v>635</v>
      </c>
      <c r="E146" s="9" t="s">
        <v>879</v>
      </c>
      <c r="F146" s="4" t="s">
        <v>636</v>
      </c>
      <c r="G146" s="4" t="s">
        <v>436</v>
      </c>
      <c r="H146" t="str">
        <f t="shared" si="5"/>
        <v/>
      </c>
    </row>
    <row r="147" spans="1:8">
      <c r="A147" s="10">
        <f t="shared" si="4"/>
        <v>146</v>
      </c>
      <c r="B147" s="10">
        <v>5</v>
      </c>
      <c r="C147" s="9" t="s">
        <v>208</v>
      </c>
      <c r="D147" s="9" t="s">
        <v>637</v>
      </c>
      <c r="E147" s="9" t="s">
        <v>878</v>
      </c>
      <c r="F147" s="4" t="s">
        <v>638</v>
      </c>
      <c r="G147" s="4" t="s">
        <v>436</v>
      </c>
      <c r="H147" t="str">
        <f t="shared" si="5"/>
        <v/>
      </c>
    </row>
    <row r="148" spans="1:8">
      <c r="A148" s="10">
        <f t="shared" si="4"/>
        <v>147</v>
      </c>
      <c r="B148" s="10">
        <v>6</v>
      </c>
      <c r="C148" s="9" t="s">
        <v>411</v>
      </c>
      <c r="D148" s="9" t="s">
        <v>413</v>
      </c>
      <c r="E148" s="9" t="s">
        <v>862</v>
      </c>
      <c r="F148" s="4" t="s">
        <v>414</v>
      </c>
      <c r="G148" s="4" t="s">
        <v>436</v>
      </c>
      <c r="H148" t="str">
        <f t="shared" si="5"/>
        <v/>
      </c>
    </row>
    <row r="149" spans="1:8">
      <c r="A149" s="10">
        <f t="shared" si="4"/>
        <v>148</v>
      </c>
      <c r="B149" s="10">
        <v>6</v>
      </c>
      <c r="C149" s="9" t="s">
        <v>411</v>
      </c>
      <c r="D149" s="9" t="s">
        <v>415</v>
      </c>
      <c r="E149" s="9" t="s">
        <v>811</v>
      </c>
      <c r="F149" s="4" t="s">
        <v>416</v>
      </c>
      <c r="G149" s="4" t="s">
        <v>436</v>
      </c>
      <c r="H149" t="str">
        <f t="shared" si="5"/>
        <v/>
      </c>
    </row>
    <row r="150" spans="1:8">
      <c r="A150" s="10">
        <f t="shared" si="4"/>
        <v>149</v>
      </c>
      <c r="B150" s="10">
        <v>4</v>
      </c>
      <c r="C150" s="9" t="s">
        <v>85</v>
      </c>
      <c r="D150" s="9" t="s">
        <v>86</v>
      </c>
      <c r="E150" s="9" t="s">
        <v>883</v>
      </c>
      <c r="F150" s="4" t="s">
        <v>87</v>
      </c>
      <c r="G150" s="4" t="s">
        <v>436</v>
      </c>
      <c r="H150" t="str">
        <f t="shared" si="5"/>
        <v/>
      </c>
    </row>
    <row r="151" spans="1:8">
      <c r="A151" s="10">
        <f t="shared" si="4"/>
        <v>150</v>
      </c>
      <c r="B151" s="10">
        <v>4</v>
      </c>
      <c r="C151" s="9" t="s">
        <v>85</v>
      </c>
      <c r="D151" s="9" t="s">
        <v>88</v>
      </c>
      <c r="E151" s="9" t="s">
        <v>883</v>
      </c>
      <c r="F151" s="4" t="s">
        <v>89</v>
      </c>
      <c r="G151" s="4" t="s">
        <v>436</v>
      </c>
      <c r="H151" t="str">
        <f t="shared" si="5"/>
        <v/>
      </c>
    </row>
    <row r="152" spans="1:8">
      <c r="A152" s="10">
        <f t="shared" si="4"/>
        <v>151</v>
      </c>
      <c r="B152" s="10">
        <v>4</v>
      </c>
      <c r="C152" s="9" t="s">
        <v>85</v>
      </c>
      <c r="D152" s="9" t="s">
        <v>90</v>
      </c>
      <c r="E152" s="9" t="s">
        <v>883</v>
      </c>
      <c r="F152" s="4" t="s">
        <v>91</v>
      </c>
      <c r="G152" s="4" t="s">
        <v>436</v>
      </c>
      <c r="H152" t="str">
        <f t="shared" si="5"/>
        <v/>
      </c>
    </row>
    <row r="153" spans="1:8">
      <c r="A153" s="10">
        <f t="shared" si="4"/>
        <v>152</v>
      </c>
      <c r="B153" s="10">
        <v>4</v>
      </c>
      <c r="C153" s="9" t="s">
        <v>85</v>
      </c>
      <c r="D153" s="9" t="s">
        <v>92</v>
      </c>
      <c r="E153" s="9" t="s">
        <v>883</v>
      </c>
      <c r="F153" s="4" t="s">
        <v>93</v>
      </c>
      <c r="G153" s="4" t="s">
        <v>436</v>
      </c>
      <c r="H153" t="str">
        <f t="shared" si="5"/>
        <v/>
      </c>
    </row>
    <row r="154" spans="1:8">
      <c r="A154" s="10">
        <f t="shared" si="4"/>
        <v>153</v>
      </c>
      <c r="B154" s="10">
        <v>4</v>
      </c>
      <c r="C154" s="9" t="s">
        <v>85</v>
      </c>
      <c r="D154" s="9" t="s">
        <v>94</v>
      </c>
      <c r="E154" s="9" t="s">
        <v>883</v>
      </c>
      <c r="F154" s="4" t="s">
        <v>95</v>
      </c>
      <c r="G154" s="4" t="s">
        <v>436</v>
      </c>
      <c r="H154" t="str">
        <f t="shared" si="5"/>
        <v/>
      </c>
    </row>
    <row r="155" spans="1:8">
      <c r="A155" s="10">
        <f t="shared" si="4"/>
        <v>154</v>
      </c>
      <c r="B155" s="10">
        <v>4</v>
      </c>
      <c r="C155" s="9" t="s">
        <v>85</v>
      </c>
      <c r="D155" s="9" t="s">
        <v>96</v>
      </c>
      <c r="E155" s="9" t="s">
        <v>884</v>
      </c>
      <c r="F155" s="4" t="s">
        <v>97</v>
      </c>
      <c r="G155" s="4" t="s">
        <v>436</v>
      </c>
      <c r="H155" t="str">
        <f t="shared" si="5"/>
        <v/>
      </c>
    </row>
    <row r="156" spans="1:8">
      <c r="A156" s="10">
        <f t="shared" si="4"/>
        <v>155</v>
      </c>
      <c r="B156" s="10">
        <v>4</v>
      </c>
      <c r="C156" s="9" t="s">
        <v>85</v>
      </c>
      <c r="D156" s="9" t="s">
        <v>98</v>
      </c>
      <c r="E156" s="9" t="s">
        <v>884</v>
      </c>
      <c r="F156" s="4" t="s">
        <v>99</v>
      </c>
      <c r="G156" s="4" t="s">
        <v>436</v>
      </c>
      <c r="H156" t="str">
        <f t="shared" si="5"/>
        <v/>
      </c>
    </row>
    <row r="157" spans="1:8">
      <c r="A157" s="10">
        <f t="shared" si="4"/>
        <v>156</v>
      </c>
      <c r="B157" s="10">
        <v>4</v>
      </c>
      <c r="C157" s="9" t="s">
        <v>85</v>
      </c>
      <c r="D157" s="9" t="s">
        <v>100</v>
      </c>
      <c r="E157" s="9" t="s">
        <v>795</v>
      </c>
      <c r="F157" s="4" t="s">
        <v>101</v>
      </c>
      <c r="G157" s="4" t="s">
        <v>436</v>
      </c>
      <c r="H157" t="str">
        <f t="shared" si="5"/>
        <v/>
      </c>
    </row>
    <row r="158" spans="1:8">
      <c r="A158" s="10">
        <f t="shared" si="4"/>
        <v>157</v>
      </c>
      <c r="B158" s="10">
        <v>4</v>
      </c>
      <c r="C158" s="9" t="s">
        <v>85</v>
      </c>
      <c r="D158" s="9" t="s">
        <v>102</v>
      </c>
      <c r="E158" s="9" t="s">
        <v>884</v>
      </c>
      <c r="F158" s="4" t="s">
        <v>103</v>
      </c>
      <c r="G158" s="4" t="s">
        <v>436</v>
      </c>
      <c r="H158" t="str">
        <f t="shared" si="5"/>
        <v/>
      </c>
    </row>
    <row r="159" spans="1:8">
      <c r="A159" s="10">
        <f t="shared" si="4"/>
        <v>158</v>
      </c>
      <c r="B159" s="10">
        <v>4</v>
      </c>
      <c r="C159" s="9" t="s">
        <v>85</v>
      </c>
      <c r="D159" s="9" t="s">
        <v>104</v>
      </c>
      <c r="E159" s="9" t="s">
        <v>884</v>
      </c>
      <c r="F159" s="4" t="s">
        <v>105</v>
      </c>
      <c r="G159" s="4" t="s">
        <v>436</v>
      </c>
      <c r="H159" t="str">
        <f t="shared" si="5"/>
        <v/>
      </c>
    </row>
    <row r="160" spans="1:8">
      <c r="A160" s="10">
        <f t="shared" si="4"/>
        <v>159</v>
      </c>
      <c r="B160" s="10">
        <v>4</v>
      </c>
      <c r="C160" s="9" t="s">
        <v>85</v>
      </c>
      <c r="D160" s="9" t="s">
        <v>106</v>
      </c>
      <c r="E160" s="9" t="s">
        <v>781</v>
      </c>
      <c r="F160" s="4" t="s">
        <v>107</v>
      </c>
      <c r="G160" s="4" t="s">
        <v>436</v>
      </c>
      <c r="H160" t="str">
        <f t="shared" si="5"/>
        <v/>
      </c>
    </row>
    <row r="161" spans="1:8">
      <c r="A161" s="10">
        <f t="shared" si="4"/>
        <v>160</v>
      </c>
      <c r="B161" s="10">
        <v>5</v>
      </c>
      <c r="C161" s="9" t="s">
        <v>85</v>
      </c>
      <c r="D161" s="9" t="s">
        <v>110</v>
      </c>
      <c r="E161" s="9" t="s">
        <v>883</v>
      </c>
      <c r="F161" s="4" t="s">
        <v>111</v>
      </c>
      <c r="G161" s="4" t="s">
        <v>436</v>
      </c>
      <c r="H161" t="str">
        <f t="shared" si="5"/>
        <v/>
      </c>
    </row>
    <row r="162" spans="1:8">
      <c r="A162" s="10">
        <f t="shared" si="4"/>
        <v>161</v>
      </c>
      <c r="B162" s="10">
        <v>4</v>
      </c>
      <c r="C162" s="9" t="s">
        <v>85</v>
      </c>
      <c r="D162" s="9" t="s">
        <v>112</v>
      </c>
      <c r="E162" s="9" t="s">
        <v>795</v>
      </c>
      <c r="F162" s="4" t="s">
        <v>113</v>
      </c>
      <c r="G162" s="4" t="s">
        <v>436</v>
      </c>
      <c r="H162" t="str">
        <f t="shared" si="5"/>
        <v/>
      </c>
    </row>
    <row r="163" spans="1:8">
      <c r="A163" s="10">
        <f t="shared" si="4"/>
        <v>162</v>
      </c>
      <c r="B163" s="10">
        <v>5</v>
      </c>
      <c r="C163" s="9" t="s">
        <v>85</v>
      </c>
      <c r="D163" s="9" t="s">
        <v>679</v>
      </c>
      <c r="E163" s="9" t="s">
        <v>781</v>
      </c>
      <c r="F163" s="4" t="s">
        <v>680</v>
      </c>
      <c r="G163" s="4" t="s">
        <v>436</v>
      </c>
      <c r="H163" t="str">
        <f t="shared" si="5"/>
        <v/>
      </c>
    </row>
    <row r="164" spans="1:8">
      <c r="A164" s="10">
        <f t="shared" si="4"/>
        <v>163</v>
      </c>
      <c r="B164" s="10">
        <v>5</v>
      </c>
      <c r="C164" s="9" t="s">
        <v>85</v>
      </c>
      <c r="D164" s="9" t="s">
        <v>114</v>
      </c>
      <c r="E164" s="9" t="s">
        <v>781</v>
      </c>
      <c r="F164" s="4" t="s">
        <v>115</v>
      </c>
      <c r="G164" s="4" t="s">
        <v>436</v>
      </c>
      <c r="H164" t="str">
        <f t="shared" si="5"/>
        <v/>
      </c>
    </row>
    <row r="165" spans="1:8">
      <c r="A165" s="10">
        <f t="shared" si="4"/>
        <v>164</v>
      </c>
      <c r="B165" s="10">
        <v>4</v>
      </c>
      <c r="C165" s="9" t="s">
        <v>85</v>
      </c>
      <c r="D165" s="9" t="s">
        <v>332</v>
      </c>
      <c r="E165" s="9" t="s">
        <v>973</v>
      </c>
      <c r="F165" s="4" t="s">
        <v>333</v>
      </c>
      <c r="G165" s="4" t="s">
        <v>436</v>
      </c>
      <c r="H165" t="str">
        <f t="shared" si="5"/>
        <v/>
      </c>
    </row>
    <row r="166" spans="1:8">
      <c r="A166" s="10">
        <f t="shared" si="4"/>
        <v>165</v>
      </c>
      <c r="B166" s="10">
        <v>6</v>
      </c>
      <c r="C166" s="9" t="s">
        <v>815</v>
      </c>
      <c r="D166" s="9" t="s">
        <v>9</v>
      </c>
      <c r="E166" s="9" t="s">
        <v>811</v>
      </c>
      <c r="F166" s="4" t="s">
        <v>10</v>
      </c>
      <c r="G166" s="4" t="s">
        <v>436</v>
      </c>
      <c r="H166" t="str">
        <f t="shared" si="5"/>
        <v/>
      </c>
    </row>
    <row r="167" spans="1:8">
      <c r="A167" s="10">
        <f t="shared" si="4"/>
        <v>166</v>
      </c>
      <c r="B167" s="10">
        <v>6</v>
      </c>
      <c r="C167" s="9" t="s">
        <v>815</v>
      </c>
      <c r="D167" s="9" t="s">
        <v>26</v>
      </c>
      <c r="E167" s="9" t="s">
        <v>811</v>
      </c>
      <c r="F167" s="4" t="s">
        <v>27</v>
      </c>
      <c r="G167" s="4" t="s">
        <v>436</v>
      </c>
      <c r="H167" t="str">
        <f t="shared" si="5"/>
        <v/>
      </c>
    </row>
    <row r="168" spans="1:8">
      <c r="A168" s="10">
        <f t="shared" si="4"/>
        <v>167</v>
      </c>
      <c r="B168" s="10">
        <v>5</v>
      </c>
      <c r="C168" s="9" t="s">
        <v>543</v>
      </c>
      <c r="D168" s="9" t="s">
        <v>544</v>
      </c>
      <c r="E168" s="9" t="s">
        <v>885</v>
      </c>
      <c r="F168" s="4" t="s">
        <v>562</v>
      </c>
      <c r="G168" s="4" t="s">
        <v>436</v>
      </c>
      <c r="H168" t="str">
        <f t="shared" si="5"/>
        <v/>
      </c>
    </row>
    <row r="169" spans="1:8">
      <c r="A169" s="10">
        <f t="shared" si="4"/>
        <v>168</v>
      </c>
      <c r="B169" s="10">
        <v>5</v>
      </c>
      <c r="C169" s="9" t="s">
        <v>543</v>
      </c>
      <c r="D169" s="9" t="s">
        <v>545</v>
      </c>
      <c r="E169" s="9" t="s">
        <v>886</v>
      </c>
      <c r="F169" s="4" t="s">
        <v>563</v>
      </c>
      <c r="G169" s="4" t="s">
        <v>436</v>
      </c>
      <c r="H169" t="str">
        <f t="shared" si="5"/>
        <v/>
      </c>
    </row>
    <row r="170" spans="1:8">
      <c r="A170" s="10">
        <f t="shared" si="4"/>
        <v>169</v>
      </c>
      <c r="B170" s="10">
        <v>5</v>
      </c>
      <c r="C170" s="9" t="s">
        <v>543</v>
      </c>
      <c r="D170" s="9" t="s">
        <v>546</v>
      </c>
      <c r="E170" s="9" t="s">
        <v>886</v>
      </c>
      <c r="F170" s="4" t="s">
        <v>564</v>
      </c>
      <c r="G170" s="4" t="s">
        <v>436</v>
      </c>
      <c r="H170" t="str">
        <f t="shared" si="5"/>
        <v/>
      </c>
    </row>
    <row r="171" spans="1:8">
      <c r="A171" s="10">
        <f t="shared" si="4"/>
        <v>170</v>
      </c>
      <c r="B171" s="10">
        <v>4</v>
      </c>
      <c r="C171" s="9" t="s">
        <v>543</v>
      </c>
      <c r="D171" s="9" t="s">
        <v>547</v>
      </c>
      <c r="E171" s="9" t="s">
        <v>885</v>
      </c>
      <c r="F171" s="4" t="s">
        <v>931</v>
      </c>
      <c r="G171" s="4" t="s">
        <v>436</v>
      </c>
      <c r="H171" t="str">
        <f t="shared" si="5"/>
        <v/>
      </c>
    </row>
    <row r="172" spans="1:8">
      <c r="A172" s="10">
        <f t="shared" si="4"/>
        <v>171</v>
      </c>
      <c r="B172" s="10">
        <v>4</v>
      </c>
      <c r="C172" s="9" t="s">
        <v>543</v>
      </c>
      <c r="D172" s="9" t="s">
        <v>548</v>
      </c>
      <c r="E172" s="9" t="s">
        <v>889</v>
      </c>
      <c r="F172" s="4" t="s">
        <v>565</v>
      </c>
      <c r="G172" s="4" t="s">
        <v>436</v>
      </c>
      <c r="H172" t="str">
        <f t="shared" si="5"/>
        <v/>
      </c>
    </row>
    <row r="173" spans="1:8">
      <c r="A173" s="10">
        <f t="shared" si="4"/>
        <v>172</v>
      </c>
      <c r="B173" s="10">
        <v>4</v>
      </c>
      <c r="C173" s="9" t="s">
        <v>543</v>
      </c>
      <c r="D173" s="9" t="s">
        <v>549</v>
      </c>
      <c r="E173" s="9" t="s">
        <v>887</v>
      </c>
      <c r="F173" s="4" t="s">
        <v>566</v>
      </c>
      <c r="G173" s="4" t="s">
        <v>436</v>
      </c>
      <c r="H173" t="str">
        <f t="shared" si="5"/>
        <v/>
      </c>
    </row>
    <row r="174" spans="1:8">
      <c r="A174" s="10">
        <f t="shared" si="4"/>
        <v>173</v>
      </c>
      <c r="B174" s="10">
        <v>5</v>
      </c>
      <c r="C174" s="9" t="s">
        <v>543</v>
      </c>
      <c r="D174" s="9" t="s">
        <v>550</v>
      </c>
      <c r="E174" s="9" t="s">
        <v>886</v>
      </c>
      <c r="F174" s="4" t="s">
        <v>567</v>
      </c>
      <c r="G174" s="4" t="s">
        <v>436</v>
      </c>
      <c r="H174" t="str">
        <f t="shared" si="5"/>
        <v/>
      </c>
    </row>
    <row r="175" spans="1:8">
      <c r="A175" s="10">
        <f t="shared" si="4"/>
        <v>174</v>
      </c>
      <c r="B175" s="10">
        <v>4</v>
      </c>
      <c r="C175" s="9" t="s">
        <v>543</v>
      </c>
      <c r="D175" s="9" t="s">
        <v>551</v>
      </c>
      <c r="E175" s="9" t="s">
        <v>887</v>
      </c>
      <c r="F175" s="4" t="s">
        <v>568</v>
      </c>
      <c r="G175" s="4" t="s">
        <v>436</v>
      </c>
      <c r="H175" t="str">
        <f t="shared" si="5"/>
        <v/>
      </c>
    </row>
    <row r="176" spans="1:8">
      <c r="A176" s="10">
        <f t="shared" si="4"/>
        <v>175</v>
      </c>
      <c r="B176" s="10">
        <v>4</v>
      </c>
      <c r="C176" s="9" t="s">
        <v>543</v>
      </c>
      <c r="D176" s="9" t="s">
        <v>552</v>
      </c>
      <c r="E176" s="9" t="s">
        <v>890</v>
      </c>
      <c r="F176" s="4" t="s">
        <v>569</v>
      </c>
      <c r="G176" s="4" t="s">
        <v>436</v>
      </c>
      <c r="H176" t="str">
        <f t="shared" si="5"/>
        <v/>
      </c>
    </row>
    <row r="177" spans="1:8">
      <c r="A177" s="10">
        <f t="shared" si="4"/>
        <v>176</v>
      </c>
      <c r="B177" s="10">
        <v>4</v>
      </c>
      <c r="C177" s="9" t="s">
        <v>543</v>
      </c>
      <c r="D177" s="9" t="s">
        <v>553</v>
      </c>
      <c r="E177" s="9" t="s">
        <v>887</v>
      </c>
      <c r="F177" s="4" t="s">
        <v>570</v>
      </c>
      <c r="G177" s="4" t="s">
        <v>436</v>
      </c>
      <c r="H177" t="str">
        <f t="shared" si="5"/>
        <v/>
      </c>
    </row>
    <row r="178" spans="1:8">
      <c r="A178" s="10">
        <f t="shared" si="4"/>
        <v>177</v>
      </c>
      <c r="B178" s="10">
        <v>4</v>
      </c>
      <c r="C178" s="9" t="s">
        <v>543</v>
      </c>
      <c r="D178" s="9" t="s">
        <v>554</v>
      </c>
      <c r="E178" s="9" t="s">
        <v>889</v>
      </c>
      <c r="F178" s="4" t="s">
        <v>571</v>
      </c>
      <c r="G178" s="4" t="s">
        <v>436</v>
      </c>
      <c r="H178" t="str">
        <f t="shared" si="5"/>
        <v/>
      </c>
    </row>
    <row r="179" spans="1:8" ht="46.5" customHeight="1">
      <c r="A179" s="10">
        <f t="shared" si="4"/>
        <v>178</v>
      </c>
      <c r="B179" s="10">
        <v>4</v>
      </c>
      <c r="C179" s="9" t="s">
        <v>543</v>
      </c>
      <c r="D179" s="9" t="s">
        <v>555</v>
      </c>
      <c r="E179" s="9" t="s">
        <v>889</v>
      </c>
      <c r="F179" s="4" t="s">
        <v>572</v>
      </c>
      <c r="G179" s="4" t="s">
        <v>436</v>
      </c>
      <c r="H179" t="str">
        <f t="shared" si="5"/>
        <v/>
      </c>
    </row>
    <row r="180" spans="1:8">
      <c r="A180" s="10">
        <f t="shared" si="4"/>
        <v>179</v>
      </c>
      <c r="B180" s="10">
        <v>4</v>
      </c>
      <c r="C180" s="9" t="s">
        <v>543</v>
      </c>
      <c r="D180" s="9" t="s">
        <v>556</v>
      </c>
      <c r="E180" s="9" t="s">
        <v>887</v>
      </c>
      <c r="F180" s="4" t="s">
        <v>573</v>
      </c>
      <c r="G180" s="4" t="s">
        <v>436</v>
      </c>
      <c r="H180" t="str">
        <f t="shared" si="5"/>
        <v/>
      </c>
    </row>
    <row r="181" spans="1:8">
      <c r="A181" s="10">
        <f t="shared" si="4"/>
        <v>180</v>
      </c>
      <c r="B181" s="10">
        <v>4</v>
      </c>
      <c r="C181" s="9" t="s">
        <v>543</v>
      </c>
      <c r="D181" s="9" t="s">
        <v>557</v>
      </c>
      <c r="E181" s="9" t="s">
        <v>889</v>
      </c>
      <c r="F181" s="4" t="s">
        <v>574</v>
      </c>
      <c r="G181" s="4" t="s">
        <v>436</v>
      </c>
      <c r="H181" t="str">
        <f t="shared" si="5"/>
        <v/>
      </c>
    </row>
    <row r="182" spans="1:8">
      <c r="A182" s="10">
        <f t="shared" si="4"/>
        <v>181</v>
      </c>
      <c r="B182" s="10">
        <v>4</v>
      </c>
      <c r="C182" s="9" t="s">
        <v>543</v>
      </c>
      <c r="D182" s="9" t="s">
        <v>558</v>
      </c>
      <c r="E182" s="9" t="s">
        <v>889</v>
      </c>
      <c r="F182" s="4" t="s">
        <v>575</v>
      </c>
      <c r="G182" s="4" t="s">
        <v>436</v>
      </c>
      <c r="H182" t="str">
        <f t="shared" si="5"/>
        <v/>
      </c>
    </row>
    <row r="183" spans="1:8">
      <c r="A183" s="10">
        <f t="shared" si="4"/>
        <v>182</v>
      </c>
      <c r="B183" s="10">
        <v>4</v>
      </c>
      <c r="C183" s="9" t="s">
        <v>543</v>
      </c>
      <c r="D183" s="9" t="s">
        <v>559</v>
      </c>
      <c r="E183" s="9" t="s">
        <v>889</v>
      </c>
      <c r="F183" s="4" t="s">
        <v>576</v>
      </c>
      <c r="G183" s="4" t="s">
        <v>436</v>
      </c>
      <c r="H183" t="str">
        <f t="shared" si="5"/>
        <v/>
      </c>
    </row>
    <row r="184" spans="1:8">
      <c r="A184" s="10">
        <f t="shared" si="4"/>
        <v>183</v>
      </c>
      <c r="B184" s="10">
        <v>4</v>
      </c>
      <c r="C184" s="9" t="s">
        <v>543</v>
      </c>
      <c r="D184" s="9" t="s">
        <v>560</v>
      </c>
      <c r="E184" s="9" t="s">
        <v>889</v>
      </c>
      <c r="F184" s="4" t="s">
        <v>577</v>
      </c>
      <c r="G184" s="4" t="s">
        <v>436</v>
      </c>
      <c r="H184" t="str">
        <f t="shared" si="5"/>
        <v/>
      </c>
    </row>
    <row r="185" spans="1:8">
      <c r="A185" s="10">
        <f t="shared" si="4"/>
        <v>184</v>
      </c>
      <c r="B185" s="10">
        <v>4</v>
      </c>
      <c r="C185" s="9" t="s">
        <v>543</v>
      </c>
      <c r="D185" s="9" t="s">
        <v>561</v>
      </c>
      <c r="E185" s="9" t="s">
        <v>888</v>
      </c>
      <c r="F185" s="4" t="s">
        <v>578</v>
      </c>
      <c r="G185" s="4" t="s">
        <v>436</v>
      </c>
      <c r="H185" t="str">
        <f t="shared" si="5"/>
        <v/>
      </c>
    </row>
    <row r="186" spans="1:8">
      <c r="A186" s="10">
        <f t="shared" si="4"/>
        <v>185</v>
      </c>
      <c r="B186" s="10">
        <v>5</v>
      </c>
      <c r="C186" s="9" t="s">
        <v>543</v>
      </c>
      <c r="D186" s="9" t="s">
        <v>579</v>
      </c>
      <c r="E186" s="9" t="s">
        <v>891</v>
      </c>
      <c r="F186" s="4" t="s">
        <v>580</v>
      </c>
      <c r="G186" s="4" t="s">
        <v>436</v>
      </c>
      <c r="H186" t="str">
        <f t="shared" si="5"/>
        <v/>
      </c>
    </row>
    <row r="187" spans="1:8" ht="60">
      <c r="A187" s="10">
        <f t="shared" si="4"/>
        <v>186</v>
      </c>
      <c r="B187" s="10">
        <v>5</v>
      </c>
      <c r="C187" s="9" t="s">
        <v>543</v>
      </c>
      <c r="D187" s="9" t="s">
        <v>892</v>
      </c>
      <c r="E187" s="9" t="s">
        <v>893</v>
      </c>
      <c r="F187" s="8" t="s">
        <v>1104</v>
      </c>
      <c r="G187" s="4" t="s">
        <v>436</v>
      </c>
      <c r="H187" t="str">
        <f t="shared" si="5"/>
        <v/>
      </c>
    </row>
    <row r="188" spans="1:8">
      <c r="A188" s="10">
        <f t="shared" si="4"/>
        <v>187</v>
      </c>
      <c r="B188" s="10">
        <v>2</v>
      </c>
      <c r="C188" s="9" t="s">
        <v>813</v>
      </c>
      <c r="D188" s="9" t="s">
        <v>440</v>
      </c>
      <c r="E188" s="9" t="s">
        <v>814</v>
      </c>
      <c r="F188" s="4" t="s">
        <v>441</v>
      </c>
      <c r="G188" s="4" t="s">
        <v>436</v>
      </c>
      <c r="H188" t="str">
        <f t="shared" si="5"/>
        <v/>
      </c>
    </row>
    <row r="189" spans="1:8">
      <c r="A189" s="10">
        <f t="shared" si="4"/>
        <v>188</v>
      </c>
      <c r="B189" s="10">
        <v>4</v>
      </c>
      <c r="C189" s="9" t="s">
        <v>596</v>
      </c>
      <c r="D189" s="9" t="s">
        <v>828</v>
      </c>
      <c r="E189" s="9" t="s">
        <v>829</v>
      </c>
      <c r="F189" s="4" t="s">
        <v>369</v>
      </c>
      <c r="G189" s="4" t="s">
        <v>436</v>
      </c>
      <c r="H189" t="str">
        <f t="shared" si="5"/>
        <v/>
      </c>
    </row>
    <row r="190" spans="1:8">
      <c r="A190" s="10">
        <f t="shared" si="4"/>
        <v>189</v>
      </c>
      <c r="B190" s="10">
        <v>4</v>
      </c>
      <c r="C190" s="9" t="s">
        <v>596</v>
      </c>
      <c r="D190" s="9" t="s">
        <v>830</v>
      </c>
      <c r="E190" s="9" t="s">
        <v>829</v>
      </c>
      <c r="F190" s="4" t="s">
        <v>833</v>
      </c>
      <c r="G190" s="4" t="s">
        <v>436</v>
      </c>
      <c r="H190" t="str">
        <f t="shared" si="5"/>
        <v/>
      </c>
    </row>
    <row r="191" spans="1:8">
      <c r="A191" s="10">
        <f t="shared" si="4"/>
        <v>190</v>
      </c>
      <c r="B191" s="10">
        <v>4</v>
      </c>
      <c r="C191" s="9" t="s">
        <v>596</v>
      </c>
      <c r="D191" s="9" t="s">
        <v>831</v>
      </c>
      <c r="E191" s="9" t="s">
        <v>829</v>
      </c>
      <c r="F191" s="8" t="s">
        <v>834</v>
      </c>
      <c r="G191" s="4" t="s">
        <v>436</v>
      </c>
      <c r="H191" t="str">
        <f t="shared" si="5"/>
        <v/>
      </c>
    </row>
    <row r="192" spans="1:8">
      <c r="A192" s="10">
        <f t="shared" si="4"/>
        <v>191</v>
      </c>
      <c r="B192" s="10">
        <v>3</v>
      </c>
      <c r="C192" s="9" t="s">
        <v>596</v>
      </c>
      <c r="D192" s="9" t="s">
        <v>769</v>
      </c>
      <c r="E192" s="9" t="s">
        <v>782</v>
      </c>
      <c r="F192" s="4" t="s">
        <v>420</v>
      </c>
      <c r="G192" s="4" t="s">
        <v>436</v>
      </c>
      <c r="H192" t="str">
        <f t="shared" si="5"/>
        <v/>
      </c>
    </row>
    <row r="193" spans="1:8">
      <c r="A193" s="10">
        <f t="shared" si="4"/>
        <v>192</v>
      </c>
      <c r="B193" s="10">
        <v>4</v>
      </c>
      <c r="C193" s="9" t="s">
        <v>596</v>
      </c>
      <c r="D193" s="9" t="s">
        <v>382</v>
      </c>
      <c r="E193" s="9" t="s">
        <v>829</v>
      </c>
      <c r="F193" s="4" t="s">
        <v>383</v>
      </c>
      <c r="G193" s="4" t="s">
        <v>436</v>
      </c>
      <c r="H193" t="str">
        <f t="shared" si="5"/>
        <v/>
      </c>
    </row>
    <row r="194" spans="1:8">
      <c r="A194" s="10">
        <f t="shared" ref="A194:A257" si="6">ROW()-1</f>
        <v>193</v>
      </c>
      <c r="B194" s="10">
        <v>5</v>
      </c>
      <c r="C194" s="9" t="s">
        <v>596</v>
      </c>
      <c r="D194" s="9" t="s">
        <v>390</v>
      </c>
      <c r="E194" s="9" t="s">
        <v>829</v>
      </c>
      <c r="F194" s="4" t="s">
        <v>391</v>
      </c>
      <c r="G194" s="4" t="s">
        <v>436</v>
      </c>
      <c r="H194" t="str">
        <f t="shared" ref="H194:H257" si="7">IF(COUNTIFS(D:D,D194)&gt;1,"DUBBEL","")</f>
        <v/>
      </c>
    </row>
    <row r="195" spans="1:8">
      <c r="A195" s="10">
        <f t="shared" si="6"/>
        <v>194</v>
      </c>
      <c r="B195" s="10">
        <v>5</v>
      </c>
      <c r="C195" s="9" t="s">
        <v>596</v>
      </c>
      <c r="D195" s="9" t="s">
        <v>597</v>
      </c>
      <c r="E195" s="9" t="s">
        <v>829</v>
      </c>
      <c r="F195" s="4" t="s">
        <v>599</v>
      </c>
      <c r="G195" s="4" t="s">
        <v>436</v>
      </c>
      <c r="H195" t="str">
        <f t="shared" si="7"/>
        <v/>
      </c>
    </row>
    <row r="196" spans="1:8">
      <c r="A196" s="10">
        <f t="shared" si="6"/>
        <v>195</v>
      </c>
      <c r="B196" s="10">
        <v>3</v>
      </c>
      <c r="C196" s="9" t="s">
        <v>596</v>
      </c>
      <c r="D196" s="9" t="s">
        <v>949</v>
      </c>
      <c r="E196" s="9" t="s">
        <v>933</v>
      </c>
      <c r="F196" s="4" t="s">
        <v>948</v>
      </c>
      <c r="G196" s="4" t="s">
        <v>436</v>
      </c>
      <c r="H196" t="str">
        <f t="shared" si="7"/>
        <v/>
      </c>
    </row>
    <row r="197" spans="1:8">
      <c r="A197" s="10">
        <f t="shared" si="6"/>
        <v>196</v>
      </c>
      <c r="B197" s="10">
        <v>4</v>
      </c>
      <c r="C197" s="9" t="s">
        <v>596</v>
      </c>
      <c r="D197" s="9" t="s">
        <v>598</v>
      </c>
      <c r="E197" s="9" t="s">
        <v>957</v>
      </c>
      <c r="F197" s="4" t="s">
        <v>932</v>
      </c>
      <c r="G197" s="4" t="s">
        <v>436</v>
      </c>
      <c r="H197" t="str">
        <f t="shared" si="7"/>
        <v/>
      </c>
    </row>
    <row r="198" spans="1:8">
      <c r="A198" s="10">
        <f t="shared" si="6"/>
        <v>197</v>
      </c>
      <c r="B198" s="10">
        <v>3</v>
      </c>
      <c r="C198" s="9" t="s">
        <v>596</v>
      </c>
      <c r="D198" s="9" t="s">
        <v>934</v>
      </c>
      <c r="E198" s="9" t="s">
        <v>950</v>
      </c>
      <c r="F198" s="4" t="s">
        <v>935</v>
      </c>
      <c r="G198" s="4" t="s">
        <v>436</v>
      </c>
      <c r="H198" t="str">
        <f t="shared" si="7"/>
        <v/>
      </c>
    </row>
    <row r="199" spans="1:8">
      <c r="A199" s="10">
        <f t="shared" si="6"/>
        <v>198</v>
      </c>
      <c r="B199" s="10">
        <v>3</v>
      </c>
      <c r="C199" s="9" t="s">
        <v>596</v>
      </c>
      <c r="D199" s="9" t="s">
        <v>936</v>
      </c>
      <c r="E199" s="9" t="s">
        <v>951</v>
      </c>
      <c r="F199" s="4" t="s">
        <v>937</v>
      </c>
      <c r="G199" s="4" t="s">
        <v>436</v>
      </c>
      <c r="H199" t="str">
        <f t="shared" si="7"/>
        <v/>
      </c>
    </row>
    <row r="200" spans="1:8">
      <c r="A200" s="10">
        <f t="shared" si="6"/>
        <v>199</v>
      </c>
      <c r="B200" s="10">
        <v>3</v>
      </c>
      <c r="C200" s="9" t="s">
        <v>596</v>
      </c>
      <c r="D200" s="9" t="s">
        <v>938</v>
      </c>
      <c r="E200" s="9" t="s">
        <v>952</v>
      </c>
      <c r="F200" s="4" t="s">
        <v>939</v>
      </c>
      <c r="G200" s="4" t="s">
        <v>436</v>
      </c>
      <c r="H200" t="str">
        <f t="shared" si="7"/>
        <v/>
      </c>
    </row>
    <row r="201" spans="1:8">
      <c r="A201" s="10">
        <f t="shared" si="6"/>
        <v>200</v>
      </c>
      <c r="B201" s="10">
        <v>3</v>
      </c>
      <c r="C201" s="9" t="s">
        <v>596</v>
      </c>
      <c r="D201" s="9" t="s">
        <v>940</v>
      </c>
      <c r="E201" s="9" t="s">
        <v>953</v>
      </c>
      <c r="F201" s="4" t="s">
        <v>941</v>
      </c>
      <c r="G201" s="4" t="s">
        <v>436</v>
      </c>
      <c r="H201" t="str">
        <f t="shared" si="7"/>
        <v/>
      </c>
    </row>
    <row r="202" spans="1:8">
      <c r="A202" s="10">
        <f t="shared" si="6"/>
        <v>201</v>
      </c>
      <c r="B202" s="10">
        <v>3</v>
      </c>
      <c r="C202" s="9" t="s">
        <v>596</v>
      </c>
      <c r="D202" s="9" t="s">
        <v>942</v>
      </c>
      <c r="E202" s="9" t="s">
        <v>954</v>
      </c>
      <c r="F202" s="4" t="s">
        <v>943</v>
      </c>
      <c r="G202" s="4" t="s">
        <v>436</v>
      </c>
      <c r="H202" t="str">
        <f t="shared" si="7"/>
        <v/>
      </c>
    </row>
    <row r="203" spans="1:8">
      <c r="A203" s="10">
        <f t="shared" si="6"/>
        <v>202</v>
      </c>
      <c r="B203" s="10">
        <v>3</v>
      </c>
      <c r="C203" s="9" t="s">
        <v>596</v>
      </c>
      <c r="D203" s="9" t="s">
        <v>944</v>
      </c>
      <c r="E203" s="9" t="s">
        <v>955</v>
      </c>
      <c r="F203" s="4" t="s">
        <v>945</v>
      </c>
      <c r="G203" s="4" t="s">
        <v>436</v>
      </c>
      <c r="H203" t="str">
        <f t="shared" si="7"/>
        <v/>
      </c>
    </row>
    <row r="204" spans="1:8">
      <c r="A204" s="10">
        <f t="shared" si="6"/>
        <v>203</v>
      </c>
      <c r="B204" s="10">
        <v>3</v>
      </c>
      <c r="C204" s="9" t="s">
        <v>596</v>
      </c>
      <c r="D204" s="9" t="s">
        <v>946</v>
      </c>
      <c r="E204" s="9" t="s">
        <v>956</v>
      </c>
      <c r="F204" s="4" t="s">
        <v>947</v>
      </c>
      <c r="G204" s="4" t="s">
        <v>436</v>
      </c>
      <c r="H204" t="str">
        <f t="shared" si="7"/>
        <v/>
      </c>
    </row>
    <row r="205" spans="1:8">
      <c r="A205" s="10">
        <f t="shared" si="6"/>
        <v>204</v>
      </c>
      <c r="B205" s="10">
        <v>4</v>
      </c>
      <c r="C205" s="9" t="s">
        <v>596</v>
      </c>
      <c r="D205" s="9" t="s">
        <v>484</v>
      </c>
      <c r="E205" s="9" t="s">
        <v>894</v>
      </c>
      <c r="F205" s="4" t="s">
        <v>485</v>
      </c>
      <c r="G205" s="4" t="s">
        <v>436</v>
      </c>
      <c r="H205" t="str">
        <f t="shared" si="7"/>
        <v/>
      </c>
    </row>
    <row r="206" spans="1:8">
      <c r="A206" s="10">
        <f t="shared" si="6"/>
        <v>205</v>
      </c>
      <c r="B206" s="10">
        <v>4</v>
      </c>
      <c r="C206" s="9" t="s">
        <v>483</v>
      </c>
      <c r="D206" s="9" t="s">
        <v>281</v>
      </c>
      <c r="E206" s="9" t="s">
        <v>852</v>
      </c>
      <c r="F206" s="4" t="s">
        <v>282</v>
      </c>
      <c r="G206" s="4" t="s">
        <v>436</v>
      </c>
      <c r="H206" t="str">
        <f t="shared" si="7"/>
        <v/>
      </c>
    </row>
    <row r="207" spans="1:8">
      <c r="A207" s="10">
        <f t="shared" si="6"/>
        <v>206</v>
      </c>
      <c r="B207" s="10" t="s">
        <v>871</v>
      </c>
      <c r="C207" s="9" t="s">
        <v>483</v>
      </c>
      <c r="D207" s="9" t="s">
        <v>486</v>
      </c>
      <c r="E207" s="9" t="s">
        <v>928</v>
      </c>
      <c r="F207" s="4" t="s">
        <v>487</v>
      </c>
      <c r="G207" s="4" t="s">
        <v>436</v>
      </c>
      <c r="H207" t="str">
        <f t="shared" si="7"/>
        <v/>
      </c>
    </row>
    <row r="208" spans="1:8">
      <c r="A208" s="10">
        <f t="shared" si="6"/>
        <v>207</v>
      </c>
      <c r="B208" s="10">
        <v>4</v>
      </c>
      <c r="C208" s="9" t="s">
        <v>483</v>
      </c>
      <c r="D208" s="9" t="s">
        <v>488</v>
      </c>
      <c r="E208" s="9" t="s">
        <v>894</v>
      </c>
      <c r="F208" s="4" t="s">
        <v>489</v>
      </c>
      <c r="G208" s="4" t="s">
        <v>436</v>
      </c>
      <c r="H208" t="str">
        <f t="shared" si="7"/>
        <v/>
      </c>
    </row>
    <row r="209" spans="1:8">
      <c r="A209" s="10">
        <f t="shared" si="6"/>
        <v>208</v>
      </c>
      <c r="B209" s="10">
        <v>4</v>
      </c>
      <c r="C209" s="9" t="s">
        <v>483</v>
      </c>
      <c r="D209" s="9" t="s">
        <v>490</v>
      </c>
      <c r="E209" s="9" t="s">
        <v>928</v>
      </c>
      <c r="F209" s="4" t="s">
        <v>491</v>
      </c>
      <c r="G209" s="4" t="s">
        <v>436</v>
      </c>
      <c r="H209" t="str">
        <f t="shared" si="7"/>
        <v/>
      </c>
    </row>
    <row r="210" spans="1:8">
      <c r="A210" s="10">
        <f t="shared" si="6"/>
        <v>209</v>
      </c>
      <c r="B210" s="10">
        <v>5</v>
      </c>
      <c r="C210" s="9" t="s">
        <v>483</v>
      </c>
      <c r="D210" s="9" t="s">
        <v>492</v>
      </c>
      <c r="E210" s="9" t="s">
        <v>929</v>
      </c>
      <c r="F210" s="4" t="s">
        <v>493</v>
      </c>
      <c r="G210" s="4" t="s">
        <v>436</v>
      </c>
      <c r="H210" t="str">
        <f t="shared" si="7"/>
        <v/>
      </c>
    </row>
    <row r="211" spans="1:8">
      <c r="A211" s="10">
        <f t="shared" si="6"/>
        <v>210</v>
      </c>
      <c r="B211" s="10">
        <v>5</v>
      </c>
      <c r="C211" s="9" t="s">
        <v>483</v>
      </c>
      <c r="D211" s="9" t="s">
        <v>494</v>
      </c>
      <c r="E211" s="9" t="s">
        <v>894</v>
      </c>
      <c r="F211" s="4" t="s">
        <v>495</v>
      </c>
      <c r="G211" s="4" t="s">
        <v>436</v>
      </c>
      <c r="H211" t="str">
        <f t="shared" si="7"/>
        <v/>
      </c>
    </row>
    <row r="212" spans="1:8">
      <c r="A212" s="10">
        <f t="shared" si="6"/>
        <v>211</v>
      </c>
      <c r="B212" s="10" t="s">
        <v>871</v>
      </c>
      <c r="C212" s="9" t="s">
        <v>483</v>
      </c>
      <c r="D212" s="9" t="s">
        <v>684</v>
      </c>
      <c r="E212" s="9" t="s">
        <v>917</v>
      </c>
      <c r="F212" s="4" t="s">
        <v>685</v>
      </c>
      <c r="G212" s="4" t="s">
        <v>436</v>
      </c>
      <c r="H212" t="str">
        <f t="shared" si="7"/>
        <v/>
      </c>
    </row>
    <row r="213" spans="1:8" ht="45">
      <c r="A213" s="10">
        <f t="shared" si="6"/>
        <v>212</v>
      </c>
      <c r="B213" s="10">
        <v>5</v>
      </c>
      <c r="C213" s="9" t="s">
        <v>483</v>
      </c>
      <c r="D213" s="9" t="s">
        <v>717</v>
      </c>
      <c r="E213" s="9" t="s">
        <v>930</v>
      </c>
      <c r="F213" s="8" t="s">
        <v>921</v>
      </c>
      <c r="G213" s="4" t="s">
        <v>436</v>
      </c>
      <c r="H213" t="str">
        <f t="shared" si="7"/>
        <v/>
      </c>
    </row>
    <row r="214" spans="1:8">
      <c r="A214" s="10">
        <f t="shared" si="6"/>
        <v>213</v>
      </c>
      <c r="B214" s="10">
        <v>4</v>
      </c>
      <c r="C214" s="9" t="s">
        <v>483</v>
      </c>
      <c r="D214" s="9" t="s">
        <v>895</v>
      </c>
      <c r="E214" s="9" t="s">
        <v>894</v>
      </c>
      <c r="F214" s="4" t="s">
        <v>896</v>
      </c>
      <c r="G214" s="4" t="s">
        <v>436</v>
      </c>
      <c r="H214" t="str">
        <f t="shared" si="7"/>
        <v/>
      </c>
    </row>
    <row r="215" spans="1:8" ht="30">
      <c r="A215" s="10">
        <f t="shared" si="6"/>
        <v>214</v>
      </c>
      <c r="B215" s="10">
        <v>4</v>
      </c>
      <c r="C215" s="9" t="s">
        <v>483</v>
      </c>
      <c r="D215" s="9" t="s">
        <v>897</v>
      </c>
      <c r="E215" s="9" t="s">
        <v>894</v>
      </c>
      <c r="F215" s="8" t="s">
        <v>898</v>
      </c>
      <c r="G215" s="4" t="s">
        <v>436</v>
      </c>
      <c r="H215" t="str">
        <f t="shared" si="7"/>
        <v/>
      </c>
    </row>
    <row r="216" spans="1:8" ht="45">
      <c r="A216" s="10">
        <f t="shared" si="6"/>
        <v>215</v>
      </c>
      <c r="C216" s="9" t="s">
        <v>483</v>
      </c>
      <c r="D216" s="9" t="s">
        <v>542</v>
      </c>
      <c r="F216" s="8" t="s">
        <v>922</v>
      </c>
      <c r="G216" s="4" t="s">
        <v>436</v>
      </c>
      <c r="H216" t="str">
        <f t="shared" si="7"/>
        <v/>
      </c>
    </row>
    <row r="217" spans="1:8" ht="30">
      <c r="A217" s="10">
        <f t="shared" si="6"/>
        <v>216</v>
      </c>
      <c r="B217" s="10">
        <v>5</v>
      </c>
      <c r="C217" s="9" t="s">
        <v>483</v>
      </c>
      <c r="D217" s="9" t="s">
        <v>904</v>
      </c>
      <c r="E217" s="9" t="s">
        <v>894</v>
      </c>
      <c r="F217" s="8" t="s">
        <v>905</v>
      </c>
      <c r="G217" s="4" t="s">
        <v>436</v>
      </c>
      <c r="H217" t="str">
        <f t="shared" si="7"/>
        <v/>
      </c>
    </row>
    <row r="218" spans="1:8" ht="30">
      <c r="A218" s="10">
        <f t="shared" si="6"/>
        <v>217</v>
      </c>
      <c r="B218" s="10">
        <v>5</v>
      </c>
      <c r="C218" s="9" t="s">
        <v>483</v>
      </c>
      <c r="D218" s="9" t="s">
        <v>906</v>
      </c>
      <c r="E218" s="9" t="s">
        <v>894</v>
      </c>
      <c r="F218" s="8" t="s">
        <v>907</v>
      </c>
      <c r="G218" s="4" t="s">
        <v>436</v>
      </c>
      <c r="H218" t="str">
        <f t="shared" si="7"/>
        <v/>
      </c>
    </row>
    <row r="219" spans="1:8" ht="45">
      <c r="A219" s="10">
        <f t="shared" si="6"/>
        <v>218</v>
      </c>
      <c r="B219" s="10">
        <v>4</v>
      </c>
      <c r="C219" s="9" t="s">
        <v>483</v>
      </c>
      <c r="D219" s="9" t="s">
        <v>908</v>
      </c>
      <c r="E219" s="9" t="s">
        <v>894</v>
      </c>
      <c r="F219" s="8" t="s">
        <v>909</v>
      </c>
      <c r="G219" s="4" t="s">
        <v>436</v>
      </c>
      <c r="H219" t="str">
        <f t="shared" si="7"/>
        <v/>
      </c>
    </row>
    <row r="220" spans="1:8">
      <c r="A220" s="10">
        <f t="shared" si="6"/>
        <v>219</v>
      </c>
      <c r="B220" s="10">
        <v>5</v>
      </c>
      <c r="C220" s="9" t="s">
        <v>483</v>
      </c>
      <c r="D220" s="9" t="s">
        <v>910</v>
      </c>
      <c r="E220" s="9" t="s">
        <v>894</v>
      </c>
      <c r="F220" s="8" t="s">
        <v>911</v>
      </c>
      <c r="G220" s="4" t="s">
        <v>436</v>
      </c>
      <c r="H220" t="str">
        <f t="shared" si="7"/>
        <v/>
      </c>
    </row>
    <row r="221" spans="1:8" ht="30">
      <c r="A221" s="10">
        <f t="shared" si="6"/>
        <v>220</v>
      </c>
      <c r="B221" s="10">
        <v>4</v>
      </c>
      <c r="C221" s="9" t="s">
        <v>483</v>
      </c>
      <c r="D221" s="9" t="s">
        <v>912</v>
      </c>
      <c r="E221" s="9" t="s">
        <v>894</v>
      </c>
      <c r="F221" s="8" t="s">
        <v>913</v>
      </c>
      <c r="G221" s="4" t="s">
        <v>436</v>
      </c>
      <c r="H221" t="str">
        <f t="shared" si="7"/>
        <v/>
      </c>
    </row>
    <row r="222" spans="1:8" ht="30">
      <c r="A222" s="10">
        <f t="shared" si="6"/>
        <v>221</v>
      </c>
      <c r="B222" s="10">
        <v>4</v>
      </c>
      <c r="C222" s="9" t="s">
        <v>483</v>
      </c>
      <c r="D222" s="9" t="s">
        <v>914</v>
      </c>
      <c r="E222" s="9" t="s">
        <v>894</v>
      </c>
      <c r="F222" s="8" t="s">
        <v>915</v>
      </c>
      <c r="G222" s="4" t="s">
        <v>436</v>
      </c>
      <c r="H222" t="str">
        <f t="shared" si="7"/>
        <v/>
      </c>
    </row>
    <row r="223" spans="1:8">
      <c r="A223" s="10">
        <f t="shared" si="6"/>
        <v>222</v>
      </c>
      <c r="B223" s="10">
        <v>6</v>
      </c>
      <c r="C223" s="9" t="s">
        <v>483</v>
      </c>
      <c r="D223" s="9" t="s">
        <v>916</v>
      </c>
      <c r="E223" s="9" t="s">
        <v>917</v>
      </c>
      <c r="F223" s="8" t="s">
        <v>918</v>
      </c>
      <c r="G223" s="4" t="s">
        <v>436</v>
      </c>
      <c r="H223" t="str">
        <f t="shared" si="7"/>
        <v/>
      </c>
    </row>
    <row r="224" spans="1:8">
      <c r="A224" s="10">
        <f t="shared" si="6"/>
        <v>223</v>
      </c>
      <c r="B224" s="10">
        <v>4</v>
      </c>
      <c r="C224" s="9" t="s">
        <v>329</v>
      </c>
      <c r="D224" s="9" t="s">
        <v>899</v>
      </c>
      <c r="E224" s="9" t="s">
        <v>900</v>
      </c>
      <c r="F224" s="4" t="s">
        <v>901</v>
      </c>
      <c r="G224" s="4" t="s">
        <v>436</v>
      </c>
      <c r="H224" t="str">
        <f t="shared" si="7"/>
        <v/>
      </c>
    </row>
    <row r="225" spans="1:8" ht="60">
      <c r="A225" s="10">
        <f t="shared" si="6"/>
        <v>224</v>
      </c>
      <c r="B225" s="10">
        <v>5</v>
      </c>
      <c r="C225" s="9" t="s">
        <v>329</v>
      </c>
      <c r="D225" s="9" t="s">
        <v>902</v>
      </c>
      <c r="E225" s="9" t="s">
        <v>900</v>
      </c>
      <c r="F225" s="8" t="s">
        <v>903</v>
      </c>
      <c r="G225" s="4" t="s">
        <v>436</v>
      </c>
      <c r="H225" t="str">
        <f t="shared" si="7"/>
        <v/>
      </c>
    </row>
    <row r="226" spans="1:8">
      <c r="A226" s="10">
        <f t="shared" si="6"/>
        <v>225</v>
      </c>
      <c r="B226" s="10">
        <v>5</v>
      </c>
      <c r="C226" s="9" t="s">
        <v>329</v>
      </c>
      <c r="D226" s="9" t="s">
        <v>330</v>
      </c>
      <c r="E226" s="9" t="s">
        <v>900</v>
      </c>
      <c r="F226" s="4" t="s">
        <v>331</v>
      </c>
      <c r="G226" s="4" t="s">
        <v>436</v>
      </c>
      <c r="H226" t="str">
        <f t="shared" si="7"/>
        <v/>
      </c>
    </row>
    <row r="227" spans="1:8">
      <c r="A227" s="10">
        <f t="shared" si="6"/>
        <v>226</v>
      </c>
      <c r="B227" s="10">
        <v>4</v>
      </c>
      <c r="C227" s="9" t="s">
        <v>329</v>
      </c>
      <c r="D227" s="9" t="s">
        <v>336</v>
      </c>
      <c r="E227" s="9" t="s">
        <v>900</v>
      </c>
      <c r="F227" s="4" t="s">
        <v>337</v>
      </c>
      <c r="G227" s="4" t="s">
        <v>436</v>
      </c>
      <c r="H227" t="str">
        <f t="shared" si="7"/>
        <v/>
      </c>
    </row>
    <row r="228" spans="1:8">
      <c r="A228" s="10">
        <f t="shared" si="6"/>
        <v>227</v>
      </c>
      <c r="B228" s="10">
        <v>4</v>
      </c>
      <c r="C228" s="9" t="s">
        <v>329</v>
      </c>
      <c r="D228" s="9" t="s">
        <v>724</v>
      </c>
      <c r="E228" s="9" t="s">
        <v>900</v>
      </c>
      <c r="F228" s="4" t="s">
        <v>725</v>
      </c>
      <c r="G228" s="4" t="s">
        <v>436</v>
      </c>
      <c r="H228" t="str">
        <f t="shared" si="7"/>
        <v/>
      </c>
    </row>
    <row r="229" spans="1:8">
      <c r="A229" s="10">
        <f t="shared" si="6"/>
        <v>228</v>
      </c>
      <c r="B229" s="10">
        <v>4</v>
      </c>
      <c r="C229" s="9" t="s">
        <v>329</v>
      </c>
      <c r="D229" s="9" t="s">
        <v>726</v>
      </c>
      <c r="E229" s="9" t="s">
        <v>975</v>
      </c>
      <c r="F229" s="4" t="s">
        <v>727</v>
      </c>
      <c r="G229" s="4" t="s">
        <v>436</v>
      </c>
      <c r="H229" t="str">
        <f t="shared" si="7"/>
        <v/>
      </c>
    </row>
    <row r="230" spans="1:8">
      <c r="A230" s="10">
        <f t="shared" si="6"/>
        <v>229</v>
      </c>
      <c r="B230" s="10">
        <v>4</v>
      </c>
      <c r="C230" s="9" t="s">
        <v>329</v>
      </c>
      <c r="D230" s="9" t="s">
        <v>338</v>
      </c>
      <c r="E230" s="9" t="s">
        <v>976</v>
      </c>
      <c r="F230" s="4" t="s">
        <v>339</v>
      </c>
      <c r="G230" s="4" t="s">
        <v>436</v>
      </c>
      <c r="H230" t="str">
        <f t="shared" si="7"/>
        <v/>
      </c>
    </row>
    <row r="231" spans="1:8">
      <c r="A231" s="10">
        <f t="shared" si="6"/>
        <v>230</v>
      </c>
      <c r="B231" s="10">
        <v>4</v>
      </c>
      <c r="C231" s="9" t="s">
        <v>329</v>
      </c>
      <c r="D231" s="9" t="s">
        <v>958</v>
      </c>
      <c r="E231" s="9" t="s">
        <v>900</v>
      </c>
      <c r="F231" s="4" t="s">
        <v>959</v>
      </c>
      <c r="G231" s="4" t="s">
        <v>436</v>
      </c>
      <c r="H231" t="str">
        <f t="shared" si="7"/>
        <v/>
      </c>
    </row>
    <row r="232" spans="1:8">
      <c r="A232" s="10">
        <f t="shared" si="6"/>
        <v>231</v>
      </c>
      <c r="B232" s="10">
        <v>4</v>
      </c>
      <c r="C232" s="9" t="s">
        <v>329</v>
      </c>
      <c r="D232" s="9" t="s">
        <v>960</v>
      </c>
      <c r="E232" s="9" t="s">
        <v>961</v>
      </c>
      <c r="F232" s="4" t="s">
        <v>963</v>
      </c>
      <c r="G232" s="4" t="s">
        <v>436</v>
      </c>
      <c r="H232" t="str">
        <f t="shared" si="7"/>
        <v/>
      </c>
    </row>
    <row r="233" spans="1:8">
      <c r="A233" s="10">
        <f t="shared" si="6"/>
        <v>232</v>
      </c>
      <c r="B233" s="10">
        <v>5</v>
      </c>
      <c r="C233" s="9" t="s">
        <v>329</v>
      </c>
      <c r="D233" s="9" t="s">
        <v>962</v>
      </c>
      <c r="E233" s="9" t="s">
        <v>900</v>
      </c>
      <c r="F233" s="4" t="s">
        <v>964</v>
      </c>
      <c r="G233" s="4" t="s">
        <v>436</v>
      </c>
      <c r="H233" t="str">
        <f t="shared" si="7"/>
        <v/>
      </c>
    </row>
    <row r="234" spans="1:8">
      <c r="A234" s="10">
        <f t="shared" si="6"/>
        <v>233</v>
      </c>
      <c r="B234" s="10">
        <v>4</v>
      </c>
      <c r="C234" s="9" t="s">
        <v>329</v>
      </c>
      <c r="D234" s="9" t="s">
        <v>965</v>
      </c>
      <c r="E234" s="9" t="s">
        <v>900</v>
      </c>
      <c r="F234" s="4" t="s">
        <v>966</v>
      </c>
      <c r="G234" s="4" t="s">
        <v>436</v>
      </c>
      <c r="H234" t="str">
        <f t="shared" si="7"/>
        <v/>
      </c>
    </row>
    <row r="235" spans="1:8">
      <c r="A235" s="10">
        <f t="shared" si="6"/>
        <v>234</v>
      </c>
      <c r="B235" s="10">
        <v>5</v>
      </c>
      <c r="C235" s="9" t="s">
        <v>329</v>
      </c>
      <c r="D235" s="9" t="s">
        <v>967</v>
      </c>
      <c r="E235" s="9" t="s">
        <v>900</v>
      </c>
      <c r="F235" s="4" t="s">
        <v>968</v>
      </c>
      <c r="G235" s="4" t="s">
        <v>436</v>
      </c>
      <c r="H235" t="str">
        <f t="shared" si="7"/>
        <v/>
      </c>
    </row>
    <row r="236" spans="1:8">
      <c r="A236" s="10">
        <f t="shared" si="6"/>
        <v>235</v>
      </c>
      <c r="B236" s="10">
        <v>5</v>
      </c>
      <c r="C236" s="9" t="s">
        <v>329</v>
      </c>
      <c r="D236" s="9" t="s">
        <v>969</v>
      </c>
      <c r="E236" s="9" t="s">
        <v>900</v>
      </c>
      <c r="F236" s="4" t="s">
        <v>970</v>
      </c>
      <c r="G236" s="4" t="s">
        <v>436</v>
      </c>
      <c r="H236" t="str">
        <f t="shared" si="7"/>
        <v/>
      </c>
    </row>
    <row r="237" spans="1:8">
      <c r="A237" s="10">
        <f t="shared" si="6"/>
        <v>236</v>
      </c>
      <c r="B237" s="10">
        <v>4</v>
      </c>
      <c r="C237" s="9" t="s">
        <v>329</v>
      </c>
      <c r="D237" s="9" t="s">
        <v>971</v>
      </c>
      <c r="E237" s="9" t="s">
        <v>883</v>
      </c>
      <c r="F237" s="4" t="s">
        <v>972</v>
      </c>
      <c r="G237" s="4" t="s">
        <v>436</v>
      </c>
      <c r="H237" t="str">
        <f t="shared" si="7"/>
        <v/>
      </c>
    </row>
    <row r="238" spans="1:8">
      <c r="A238" s="10">
        <f t="shared" si="6"/>
        <v>237</v>
      </c>
      <c r="B238" s="10">
        <v>4</v>
      </c>
      <c r="C238" s="9" t="s">
        <v>238</v>
      </c>
      <c r="D238" s="9" t="s">
        <v>239</v>
      </c>
      <c r="E238" s="9" t="s">
        <v>978</v>
      </c>
      <c r="F238" s="4" t="s">
        <v>240</v>
      </c>
      <c r="G238" s="4" t="s">
        <v>436</v>
      </c>
      <c r="H238" t="str">
        <f t="shared" si="7"/>
        <v/>
      </c>
    </row>
    <row r="239" spans="1:8">
      <c r="A239" s="10">
        <f t="shared" si="6"/>
        <v>238</v>
      </c>
      <c r="B239" s="10">
        <v>4</v>
      </c>
      <c r="C239" s="9" t="s">
        <v>238</v>
      </c>
      <c r="D239" s="9" t="s">
        <v>241</v>
      </c>
      <c r="E239" s="9" t="s">
        <v>978</v>
      </c>
      <c r="F239" s="4" t="s">
        <v>242</v>
      </c>
      <c r="G239" s="4" t="s">
        <v>436</v>
      </c>
      <c r="H239" t="str">
        <f t="shared" si="7"/>
        <v/>
      </c>
    </row>
    <row r="240" spans="1:8">
      <c r="A240" s="10">
        <f t="shared" si="6"/>
        <v>239</v>
      </c>
      <c r="B240" s="10">
        <v>4</v>
      </c>
      <c r="C240" s="9" t="s">
        <v>238</v>
      </c>
      <c r="D240" s="9" t="s">
        <v>243</v>
      </c>
      <c r="E240" s="9" t="s">
        <v>978</v>
      </c>
      <c r="F240" s="4" t="s">
        <v>244</v>
      </c>
      <c r="G240" s="4" t="s">
        <v>436</v>
      </c>
      <c r="H240" t="str">
        <f t="shared" si="7"/>
        <v/>
      </c>
    </row>
    <row r="241" spans="1:8">
      <c r="A241" s="10">
        <f t="shared" si="6"/>
        <v>240</v>
      </c>
      <c r="B241" s="10">
        <v>4</v>
      </c>
      <c r="C241" s="9" t="s">
        <v>238</v>
      </c>
      <c r="D241" s="9" t="s">
        <v>246</v>
      </c>
      <c r="E241" s="9" t="s">
        <v>979</v>
      </c>
      <c r="F241" s="4" t="s">
        <v>247</v>
      </c>
      <c r="G241" s="4" t="s">
        <v>436</v>
      </c>
      <c r="H241" t="str">
        <f t="shared" si="7"/>
        <v/>
      </c>
    </row>
    <row r="242" spans="1:8">
      <c r="A242" s="10">
        <f t="shared" si="6"/>
        <v>241</v>
      </c>
      <c r="B242" s="10">
        <v>5</v>
      </c>
      <c r="C242" s="9" t="s">
        <v>238</v>
      </c>
      <c r="D242" s="9" t="s">
        <v>248</v>
      </c>
      <c r="E242" s="9" t="s">
        <v>978</v>
      </c>
      <c r="F242" s="4" t="s">
        <v>249</v>
      </c>
      <c r="G242" s="4" t="s">
        <v>436</v>
      </c>
      <c r="H242" t="str">
        <f t="shared" si="7"/>
        <v/>
      </c>
    </row>
    <row r="243" spans="1:8">
      <c r="A243" s="10">
        <f t="shared" si="6"/>
        <v>242</v>
      </c>
      <c r="B243" s="10">
        <v>4</v>
      </c>
      <c r="C243" s="9" t="s">
        <v>238</v>
      </c>
      <c r="D243" s="9" t="s">
        <v>980</v>
      </c>
      <c r="E243" s="9" t="s">
        <v>979</v>
      </c>
      <c r="F243" s="4" t="s">
        <v>983</v>
      </c>
      <c r="G243" s="4" t="s">
        <v>436</v>
      </c>
      <c r="H243" t="str">
        <f t="shared" si="7"/>
        <v/>
      </c>
    </row>
    <row r="244" spans="1:8">
      <c r="A244" s="10">
        <f t="shared" si="6"/>
        <v>243</v>
      </c>
      <c r="B244" s="10">
        <v>4</v>
      </c>
      <c r="C244" s="9" t="s">
        <v>238</v>
      </c>
      <c r="D244" s="9" t="s">
        <v>981</v>
      </c>
      <c r="E244" s="9" t="s">
        <v>978</v>
      </c>
      <c r="F244" s="4" t="s">
        <v>984</v>
      </c>
      <c r="G244" s="4" t="s">
        <v>436</v>
      </c>
      <c r="H244" t="str">
        <f t="shared" si="7"/>
        <v/>
      </c>
    </row>
    <row r="245" spans="1:8">
      <c r="A245" s="10">
        <f t="shared" si="6"/>
        <v>244</v>
      </c>
      <c r="B245" s="10">
        <v>4</v>
      </c>
      <c r="C245" s="9" t="s">
        <v>238</v>
      </c>
      <c r="D245" s="9" t="s">
        <v>982</v>
      </c>
      <c r="E245" s="9" t="s">
        <v>978</v>
      </c>
      <c r="F245" s="4" t="s">
        <v>985</v>
      </c>
      <c r="G245" s="4" t="s">
        <v>436</v>
      </c>
      <c r="H245" t="str">
        <f t="shared" si="7"/>
        <v/>
      </c>
    </row>
    <row r="246" spans="1:8">
      <c r="A246" s="10">
        <f t="shared" si="6"/>
        <v>245</v>
      </c>
      <c r="B246" s="10">
        <v>4</v>
      </c>
      <c r="C246" s="9" t="s">
        <v>470</v>
      </c>
      <c r="D246" s="9" t="s">
        <v>471</v>
      </c>
      <c r="E246" s="4" t="s">
        <v>987</v>
      </c>
      <c r="F246" s="4" t="s">
        <v>472</v>
      </c>
      <c r="G246" s="4" t="s">
        <v>436</v>
      </c>
      <c r="H246" t="str">
        <f t="shared" si="7"/>
        <v/>
      </c>
    </row>
    <row r="247" spans="1:8">
      <c r="A247" s="10">
        <f t="shared" si="6"/>
        <v>246</v>
      </c>
      <c r="B247" s="10">
        <v>4</v>
      </c>
      <c r="C247" s="9" t="s">
        <v>470</v>
      </c>
      <c r="D247" s="9" t="s">
        <v>473</v>
      </c>
      <c r="E247" s="4" t="s">
        <v>987</v>
      </c>
      <c r="F247" s="4" t="s">
        <v>474</v>
      </c>
      <c r="G247" s="4" t="s">
        <v>436</v>
      </c>
      <c r="H247" t="str">
        <f t="shared" si="7"/>
        <v/>
      </c>
    </row>
    <row r="248" spans="1:8">
      <c r="A248" s="10">
        <f t="shared" si="6"/>
        <v>247</v>
      </c>
      <c r="B248" s="10">
        <v>3</v>
      </c>
      <c r="C248" s="9" t="s">
        <v>470</v>
      </c>
      <c r="D248" s="9" t="s">
        <v>475</v>
      </c>
      <c r="E248" s="4" t="s">
        <v>987</v>
      </c>
      <c r="F248" s="4" t="s">
        <v>476</v>
      </c>
      <c r="G248" s="4" t="s">
        <v>436</v>
      </c>
      <c r="H248" t="str">
        <f t="shared" si="7"/>
        <v/>
      </c>
    </row>
    <row r="249" spans="1:8">
      <c r="A249" s="10">
        <f t="shared" si="6"/>
        <v>248</v>
      </c>
      <c r="B249" s="10">
        <v>4</v>
      </c>
      <c r="C249" s="9" t="s">
        <v>470</v>
      </c>
      <c r="D249" s="9" t="s">
        <v>477</v>
      </c>
      <c r="E249" s="4" t="s">
        <v>987</v>
      </c>
      <c r="F249" s="4" t="s">
        <v>478</v>
      </c>
      <c r="G249" s="4" t="s">
        <v>436</v>
      </c>
      <c r="H249" t="str">
        <f t="shared" si="7"/>
        <v/>
      </c>
    </row>
    <row r="250" spans="1:8">
      <c r="A250" s="10">
        <f t="shared" si="6"/>
        <v>249</v>
      </c>
      <c r="B250" s="10">
        <v>4</v>
      </c>
      <c r="C250" s="9" t="s">
        <v>470</v>
      </c>
      <c r="D250" s="9" t="s">
        <v>479</v>
      </c>
      <c r="E250" s="4" t="s">
        <v>987</v>
      </c>
      <c r="F250" s="4" t="s">
        <v>480</v>
      </c>
      <c r="G250" s="4" t="s">
        <v>436</v>
      </c>
      <c r="H250" t="str">
        <f t="shared" si="7"/>
        <v/>
      </c>
    </row>
    <row r="251" spans="1:8">
      <c r="A251" s="10">
        <f t="shared" si="6"/>
        <v>250</v>
      </c>
      <c r="B251" s="10">
        <v>5</v>
      </c>
      <c r="C251" s="9" t="s">
        <v>470</v>
      </c>
      <c r="D251" s="9" t="s">
        <v>481</v>
      </c>
      <c r="E251" s="4" t="s">
        <v>987</v>
      </c>
      <c r="F251" s="4" t="s">
        <v>482</v>
      </c>
      <c r="G251" s="4" t="s">
        <v>436</v>
      </c>
      <c r="H251" t="str">
        <f t="shared" si="7"/>
        <v/>
      </c>
    </row>
    <row r="252" spans="1:8" ht="45">
      <c r="A252" s="10">
        <f t="shared" si="6"/>
        <v>251</v>
      </c>
      <c r="B252" s="10">
        <v>3</v>
      </c>
      <c r="C252" s="9" t="s">
        <v>470</v>
      </c>
      <c r="D252" s="9" t="s">
        <v>986</v>
      </c>
      <c r="E252" s="9" t="s">
        <v>987</v>
      </c>
      <c r="F252" s="8" t="s">
        <v>988</v>
      </c>
      <c r="G252" s="4" t="s">
        <v>436</v>
      </c>
      <c r="H252" t="str">
        <f t="shared" si="7"/>
        <v/>
      </c>
    </row>
    <row r="253" spans="1:8" ht="75">
      <c r="A253" s="10">
        <f t="shared" si="6"/>
        <v>252</v>
      </c>
      <c r="B253" s="10">
        <v>4</v>
      </c>
      <c r="C253" s="9" t="s">
        <v>470</v>
      </c>
      <c r="D253" s="9" t="s">
        <v>989</v>
      </c>
      <c r="E253" s="9" t="s">
        <v>987</v>
      </c>
      <c r="F253" s="8" t="s">
        <v>992</v>
      </c>
      <c r="G253" s="4" t="s">
        <v>436</v>
      </c>
      <c r="H253" t="str">
        <f t="shared" si="7"/>
        <v/>
      </c>
    </row>
    <row r="254" spans="1:8" ht="45">
      <c r="A254" s="10">
        <f t="shared" si="6"/>
        <v>253</v>
      </c>
      <c r="B254" s="10">
        <v>4</v>
      </c>
      <c r="C254" s="9" t="s">
        <v>470</v>
      </c>
      <c r="D254" s="9" t="s">
        <v>990</v>
      </c>
      <c r="E254" s="9" t="s">
        <v>987</v>
      </c>
      <c r="F254" s="8" t="s">
        <v>991</v>
      </c>
      <c r="G254" s="4" t="s">
        <v>436</v>
      </c>
      <c r="H254" t="str">
        <f t="shared" si="7"/>
        <v/>
      </c>
    </row>
    <row r="255" spans="1:8" ht="60">
      <c r="A255" s="10">
        <f t="shared" si="6"/>
        <v>254</v>
      </c>
      <c r="B255" s="10">
        <v>4</v>
      </c>
      <c r="C255" s="9" t="s">
        <v>470</v>
      </c>
      <c r="D255" s="9" t="s">
        <v>993</v>
      </c>
      <c r="E255" s="9" t="s">
        <v>987</v>
      </c>
      <c r="F255" s="8" t="s">
        <v>994</v>
      </c>
      <c r="G255" s="4" t="s">
        <v>436</v>
      </c>
      <c r="H255" t="str">
        <f t="shared" si="7"/>
        <v/>
      </c>
    </row>
    <row r="256" spans="1:8" ht="45">
      <c r="A256" s="10">
        <f t="shared" si="6"/>
        <v>255</v>
      </c>
      <c r="B256" s="10">
        <v>4</v>
      </c>
      <c r="C256" s="9" t="s">
        <v>470</v>
      </c>
      <c r="D256" s="9" t="s">
        <v>995</v>
      </c>
      <c r="E256" s="9" t="s">
        <v>987</v>
      </c>
      <c r="F256" s="8" t="s">
        <v>996</v>
      </c>
      <c r="G256" s="4" t="s">
        <v>436</v>
      </c>
      <c r="H256" t="str">
        <f t="shared" si="7"/>
        <v/>
      </c>
    </row>
    <row r="257" spans="1:8" ht="30">
      <c r="A257" s="10">
        <f t="shared" si="6"/>
        <v>256</v>
      </c>
      <c r="B257" s="10">
        <v>4</v>
      </c>
      <c r="C257" s="9" t="s">
        <v>470</v>
      </c>
      <c r="D257" s="9" t="s">
        <v>997</v>
      </c>
      <c r="E257" s="9" t="s">
        <v>987</v>
      </c>
      <c r="F257" s="8" t="s">
        <v>998</v>
      </c>
      <c r="G257" s="4" t="s">
        <v>436</v>
      </c>
      <c r="H257" t="str">
        <f t="shared" si="7"/>
        <v/>
      </c>
    </row>
    <row r="258" spans="1:8" ht="30">
      <c r="A258" s="10">
        <f t="shared" ref="A258:A296" si="8">ROW()-1</f>
        <v>257</v>
      </c>
      <c r="B258" s="10">
        <v>4</v>
      </c>
      <c r="C258" s="9" t="s">
        <v>470</v>
      </c>
      <c r="D258" s="9" t="s">
        <v>999</v>
      </c>
      <c r="E258" s="9" t="s">
        <v>987</v>
      </c>
      <c r="F258" s="8" t="s">
        <v>1000</v>
      </c>
      <c r="G258" s="4" t="s">
        <v>436</v>
      </c>
      <c r="H258" t="str">
        <f t="shared" ref="H258:H301" si="9">IF(COUNTIFS(D:D,D258)&gt;1,"DUBBEL","")</f>
        <v/>
      </c>
    </row>
    <row r="259" spans="1:8" ht="45">
      <c r="A259" s="10">
        <f t="shared" si="8"/>
        <v>258</v>
      </c>
      <c r="B259" s="10">
        <v>4</v>
      </c>
      <c r="C259" s="9" t="s">
        <v>470</v>
      </c>
      <c r="D259" s="9" t="s">
        <v>1001</v>
      </c>
      <c r="E259" s="9" t="s">
        <v>987</v>
      </c>
      <c r="F259" s="8" t="s">
        <v>1002</v>
      </c>
      <c r="G259" s="4" t="s">
        <v>436</v>
      </c>
      <c r="H259" t="str">
        <f t="shared" si="9"/>
        <v/>
      </c>
    </row>
    <row r="260" spans="1:8">
      <c r="A260" s="10">
        <f t="shared" si="8"/>
        <v>259</v>
      </c>
      <c r="B260" s="10">
        <v>4</v>
      </c>
      <c r="C260" s="9" t="s">
        <v>704</v>
      </c>
      <c r="D260" s="9" t="s">
        <v>402</v>
      </c>
      <c r="E260" s="4" t="s">
        <v>1003</v>
      </c>
      <c r="F260" s="4" t="s">
        <v>703</v>
      </c>
      <c r="G260" s="4" t="s">
        <v>436</v>
      </c>
      <c r="H260" t="str">
        <f t="shared" si="9"/>
        <v/>
      </c>
    </row>
    <row r="261" spans="1:8">
      <c r="A261" s="10">
        <f t="shared" si="8"/>
        <v>260</v>
      </c>
      <c r="B261" s="10">
        <v>4</v>
      </c>
      <c r="C261" s="9" t="s">
        <v>704</v>
      </c>
      <c r="D261" s="9" t="s">
        <v>706</v>
      </c>
      <c r="E261" s="4" t="s">
        <v>1003</v>
      </c>
      <c r="F261" s="4" t="s">
        <v>705</v>
      </c>
      <c r="G261" s="4" t="s">
        <v>436</v>
      </c>
      <c r="H261" t="str">
        <f t="shared" si="9"/>
        <v/>
      </c>
    </row>
    <row r="262" spans="1:8">
      <c r="A262" s="10">
        <f t="shared" si="8"/>
        <v>261</v>
      </c>
      <c r="B262" s="10">
        <v>4</v>
      </c>
      <c r="C262" s="9" t="s">
        <v>704</v>
      </c>
      <c r="D262" s="9" t="s">
        <v>1004</v>
      </c>
      <c r="E262" s="4" t="s">
        <v>1003</v>
      </c>
      <c r="F262" s="4" t="s">
        <v>707</v>
      </c>
      <c r="G262" s="4" t="s">
        <v>436</v>
      </c>
      <c r="H262" t="str">
        <f t="shared" si="9"/>
        <v/>
      </c>
    </row>
    <row r="263" spans="1:8">
      <c r="A263" s="10">
        <f t="shared" si="8"/>
        <v>262</v>
      </c>
      <c r="B263" s="10">
        <v>4</v>
      </c>
      <c r="C263" s="9" t="s">
        <v>704</v>
      </c>
      <c r="D263" s="9" t="s">
        <v>708</v>
      </c>
      <c r="E263" s="4" t="s">
        <v>1003</v>
      </c>
      <c r="F263" s="4" t="s">
        <v>709</v>
      </c>
      <c r="G263" s="4" t="s">
        <v>436</v>
      </c>
      <c r="H263" t="str">
        <f t="shared" si="9"/>
        <v/>
      </c>
    </row>
    <row r="264" spans="1:8">
      <c r="A264" s="10">
        <f t="shared" si="8"/>
        <v>263</v>
      </c>
      <c r="B264" s="10">
        <v>4</v>
      </c>
      <c r="C264" s="9" t="s">
        <v>704</v>
      </c>
      <c r="D264" s="9" t="s">
        <v>711</v>
      </c>
      <c r="E264" s="4" t="s">
        <v>1003</v>
      </c>
      <c r="F264" s="4" t="s">
        <v>710</v>
      </c>
      <c r="G264" s="4" t="s">
        <v>436</v>
      </c>
      <c r="H264" t="str">
        <f t="shared" si="9"/>
        <v/>
      </c>
    </row>
    <row r="265" spans="1:8">
      <c r="A265" s="10">
        <f t="shared" si="8"/>
        <v>264</v>
      </c>
      <c r="B265" s="10">
        <v>4</v>
      </c>
      <c r="C265" s="9" t="s">
        <v>704</v>
      </c>
      <c r="D265" s="9" t="s">
        <v>713</v>
      </c>
      <c r="E265" s="4" t="s">
        <v>1003</v>
      </c>
      <c r="F265" s="4" t="s">
        <v>712</v>
      </c>
      <c r="G265" s="4" t="s">
        <v>436</v>
      </c>
      <c r="H265" t="str">
        <f t="shared" si="9"/>
        <v/>
      </c>
    </row>
    <row r="266" spans="1:8">
      <c r="A266" s="10">
        <f t="shared" si="8"/>
        <v>265</v>
      </c>
      <c r="B266" s="10">
        <v>4</v>
      </c>
      <c r="C266" s="9" t="s">
        <v>704</v>
      </c>
      <c r="D266" s="4" t="s">
        <v>1005</v>
      </c>
      <c r="E266" s="4" t="s">
        <v>1003</v>
      </c>
      <c r="F266" s="4" t="s">
        <v>1006</v>
      </c>
      <c r="G266" s="4" t="s">
        <v>436</v>
      </c>
      <c r="H266" t="str">
        <f t="shared" si="9"/>
        <v/>
      </c>
    </row>
    <row r="267" spans="1:8">
      <c r="A267" s="10">
        <f t="shared" si="8"/>
        <v>266</v>
      </c>
      <c r="B267" s="10">
        <v>4</v>
      </c>
      <c r="C267" s="9" t="s">
        <v>704</v>
      </c>
      <c r="D267" s="4" t="s">
        <v>1007</v>
      </c>
      <c r="E267" s="4" t="s">
        <v>1003</v>
      </c>
      <c r="F267" s="4" t="s">
        <v>1008</v>
      </c>
      <c r="G267" s="4" t="s">
        <v>436</v>
      </c>
      <c r="H267" t="str">
        <f t="shared" si="9"/>
        <v/>
      </c>
    </row>
    <row r="268" spans="1:8" ht="45">
      <c r="A268" s="10">
        <f t="shared" si="8"/>
        <v>267</v>
      </c>
      <c r="B268" s="10">
        <v>3</v>
      </c>
      <c r="C268" s="9" t="s">
        <v>41</v>
      </c>
      <c r="D268" s="9" t="s">
        <v>412</v>
      </c>
      <c r="E268" s="9" t="s">
        <v>785</v>
      </c>
      <c r="F268" s="8" t="s">
        <v>1048</v>
      </c>
      <c r="G268" s="4" t="s">
        <v>436</v>
      </c>
      <c r="H268" t="str">
        <f t="shared" si="9"/>
        <v/>
      </c>
    </row>
    <row r="269" spans="1:8">
      <c r="A269" s="10">
        <f t="shared" si="8"/>
        <v>268</v>
      </c>
      <c r="B269" s="10">
        <v>4</v>
      </c>
      <c r="C269" s="9" t="s">
        <v>41</v>
      </c>
      <c r="D269" s="9" t="s">
        <v>42</v>
      </c>
      <c r="E269" s="4" t="s">
        <v>1009</v>
      </c>
      <c r="F269" s="4" t="s">
        <v>43</v>
      </c>
      <c r="G269" s="4" t="s">
        <v>436</v>
      </c>
      <c r="H269" t="str">
        <f t="shared" si="9"/>
        <v/>
      </c>
    </row>
    <row r="270" spans="1:8">
      <c r="A270" s="10">
        <f t="shared" si="8"/>
        <v>269</v>
      </c>
      <c r="B270" s="10">
        <v>4</v>
      </c>
      <c r="C270" s="9" t="s">
        <v>41</v>
      </c>
      <c r="D270" s="9" t="s">
        <v>44</v>
      </c>
      <c r="E270" s="4" t="s">
        <v>1009</v>
      </c>
      <c r="F270" s="4" t="s">
        <v>45</v>
      </c>
      <c r="G270" s="4" t="s">
        <v>436</v>
      </c>
      <c r="H270" t="str">
        <f t="shared" si="9"/>
        <v/>
      </c>
    </row>
    <row r="271" spans="1:8">
      <c r="A271" s="10">
        <f t="shared" si="8"/>
        <v>270</v>
      </c>
      <c r="B271" s="10">
        <v>4</v>
      </c>
      <c r="C271" s="9" t="s">
        <v>41</v>
      </c>
      <c r="D271" s="9" t="s">
        <v>46</v>
      </c>
      <c r="E271" s="4" t="s">
        <v>1009</v>
      </c>
      <c r="F271" s="4" t="s">
        <v>47</v>
      </c>
      <c r="G271" s="4" t="s">
        <v>436</v>
      </c>
      <c r="H271" t="str">
        <f t="shared" si="9"/>
        <v/>
      </c>
    </row>
    <row r="272" spans="1:8">
      <c r="A272" s="10">
        <f t="shared" si="8"/>
        <v>271</v>
      </c>
      <c r="B272" s="10">
        <v>5</v>
      </c>
      <c r="C272" s="9" t="s">
        <v>41</v>
      </c>
      <c r="D272" s="4" t="s">
        <v>1010</v>
      </c>
      <c r="E272" s="4" t="s">
        <v>1011</v>
      </c>
      <c r="F272" s="4" t="s">
        <v>1013</v>
      </c>
      <c r="G272" s="4" t="s">
        <v>436</v>
      </c>
      <c r="H272" t="str">
        <f t="shared" si="9"/>
        <v/>
      </c>
    </row>
    <row r="273" spans="1:8">
      <c r="A273" s="10">
        <f t="shared" si="8"/>
        <v>272</v>
      </c>
      <c r="B273" s="10">
        <v>3</v>
      </c>
      <c r="C273" s="9" t="s">
        <v>41</v>
      </c>
      <c r="D273" s="9" t="s">
        <v>48</v>
      </c>
      <c r="E273" s="4" t="s">
        <v>1009</v>
      </c>
      <c r="F273" s="4" t="s">
        <v>49</v>
      </c>
      <c r="G273" s="4" t="s">
        <v>436</v>
      </c>
      <c r="H273" t="str">
        <f t="shared" si="9"/>
        <v/>
      </c>
    </row>
    <row r="274" spans="1:8">
      <c r="A274" s="10">
        <f t="shared" si="8"/>
        <v>273</v>
      </c>
      <c r="B274" s="10">
        <v>3</v>
      </c>
      <c r="C274" s="9" t="s">
        <v>41</v>
      </c>
      <c r="D274" s="9" t="s">
        <v>50</v>
      </c>
      <c r="E274" s="4" t="s">
        <v>1009</v>
      </c>
      <c r="F274" s="4" t="s">
        <v>51</v>
      </c>
      <c r="G274" s="4" t="s">
        <v>436</v>
      </c>
      <c r="H274" t="str">
        <f t="shared" si="9"/>
        <v/>
      </c>
    </row>
    <row r="275" spans="1:8">
      <c r="A275" s="10">
        <f t="shared" si="8"/>
        <v>274</v>
      </c>
      <c r="B275" s="10">
        <v>4</v>
      </c>
      <c r="C275" s="9" t="s">
        <v>41</v>
      </c>
      <c r="D275" s="9" t="s">
        <v>52</v>
      </c>
      <c r="E275" s="4" t="s">
        <v>1009</v>
      </c>
      <c r="F275" s="4" t="s">
        <v>53</v>
      </c>
      <c r="G275" s="4" t="s">
        <v>436</v>
      </c>
      <c r="H275" t="str">
        <f t="shared" si="9"/>
        <v/>
      </c>
    </row>
    <row r="276" spans="1:8">
      <c r="A276" s="10">
        <f t="shared" si="8"/>
        <v>275</v>
      </c>
      <c r="B276" s="10">
        <v>3</v>
      </c>
      <c r="C276" s="9" t="s">
        <v>41</v>
      </c>
      <c r="D276" s="9" t="s">
        <v>740</v>
      </c>
      <c r="E276" s="4" t="s">
        <v>1012</v>
      </c>
      <c r="F276" s="4" t="s">
        <v>762</v>
      </c>
      <c r="G276" s="4" t="s">
        <v>436</v>
      </c>
      <c r="H276" t="str">
        <f t="shared" si="9"/>
        <v/>
      </c>
    </row>
    <row r="277" spans="1:8">
      <c r="A277" s="10">
        <f t="shared" si="8"/>
        <v>276</v>
      </c>
      <c r="B277" s="10">
        <v>3</v>
      </c>
      <c r="C277" s="9" t="s">
        <v>41</v>
      </c>
      <c r="D277" s="9" t="s">
        <v>745</v>
      </c>
      <c r="E277" s="4" t="s">
        <v>1012</v>
      </c>
      <c r="F277" s="4" t="s">
        <v>763</v>
      </c>
      <c r="G277" s="4" t="s">
        <v>436</v>
      </c>
      <c r="H277" t="str">
        <f t="shared" si="9"/>
        <v/>
      </c>
    </row>
    <row r="278" spans="1:8">
      <c r="A278" s="10">
        <f t="shared" si="8"/>
        <v>277</v>
      </c>
      <c r="B278" s="10">
        <v>3</v>
      </c>
      <c r="C278" s="9" t="s">
        <v>41</v>
      </c>
      <c r="D278" s="9" t="s">
        <v>746</v>
      </c>
      <c r="E278" s="4" t="s">
        <v>1012</v>
      </c>
      <c r="F278" s="4" t="s">
        <v>764</v>
      </c>
      <c r="G278" s="4" t="s">
        <v>436</v>
      </c>
      <c r="H278" t="str">
        <f t="shared" si="9"/>
        <v/>
      </c>
    </row>
    <row r="279" spans="1:8">
      <c r="A279" s="10">
        <f t="shared" si="8"/>
        <v>278</v>
      </c>
      <c r="B279" s="10">
        <v>2</v>
      </c>
      <c r="C279" s="9" t="s">
        <v>41</v>
      </c>
      <c r="D279" s="9" t="s">
        <v>54</v>
      </c>
      <c r="E279" s="4" t="s">
        <v>1009</v>
      </c>
      <c r="F279" s="4" t="s">
        <v>55</v>
      </c>
      <c r="G279" s="4" t="s">
        <v>436</v>
      </c>
      <c r="H279" t="str">
        <f t="shared" si="9"/>
        <v/>
      </c>
    </row>
    <row r="280" spans="1:8">
      <c r="A280" s="10">
        <f t="shared" si="8"/>
        <v>279</v>
      </c>
      <c r="B280" s="10">
        <v>3</v>
      </c>
      <c r="C280" s="9" t="s">
        <v>41</v>
      </c>
      <c r="D280" s="9" t="s">
        <v>56</v>
      </c>
      <c r="E280" s="4" t="s">
        <v>1012</v>
      </c>
      <c r="F280" s="4" t="s">
        <v>57</v>
      </c>
      <c r="G280" s="4" t="s">
        <v>436</v>
      </c>
      <c r="H280" t="str">
        <f t="shared" si="9"/>
        <v/>
      </c>
    </row>
    <row r="281" spans="1:8">
      <c r="A281" s="10">
        <f t="shared" si="8"/>
        <v>280</v>
      </c>
      <c r="B281" s="10">
        <v>3</v>
      </c>
      <c r="C281" s="9" t="s">
        <v>41</v>
      </c>
      <c r="D281" s="9" t="s">
        <v>58</v>
      </c>
      <c r="E281" s="4" t="s">
        <v>1009</v>
      </c>
      <c r="F281" s="4" t="s">
        <v>59</v>
      </c>
      <c r="G281" s="4" t="s">
        <v>436</v>
      </c>
      <c r="H281" t="str">
        <f t="shared" si="9"/>
        <v/>
      </c>
    </row>
    <row r="282" spans="1:8" ht="45">
      <c r="A282" s="10">
        <f t="shared" si="8"/>
        <v>281</v>
      </c>
      <c r="B282" s="10">
        <v>4</v>
      </c>
      <c r="C282" s="9" t="s">
        <v>41</v>
      </c>
      <c r="D282" s="9" t="s">
        <v>541</v>
      </c>
      <c r="E282" s="4" t="s">
        <v>1009</v>
      </c>
      <c r="F282" s="8" t="s">
        <v>923</v>
      </c>
      <c r="G282" s="4" t="s">
        <v>436</v>
      </c>
      <c r="H282" t="str">
        <f t="shared" si="9"/>
        <v/>
      </c>
    </row>
    <row r="283" spans="1:8">
      <c r="A283" s="10">
        <f t="shared" si="8"/>
        <v>282</v>
      </c>
      <c r="B283" s="10">
        <v>3</v>
      </c>
      <c r="C283" s="9" t="s">
        <v>41</v>
      </c>
      <c r="D283" s="9" t="s">
        <v>60</v>
      </c>
      <c r="E283" s="4" t="s">
        <v>1009</v>
      </c>
      <c r="F283" s="4" t="s">
        <v>61</v>
      </c>
      <c r="G283" s="4" t="s">
        <v>436</v>
      </c>
      <c r="H283" t="str">
        <f t="shared" si="9"/>
        <v/>
      </c>
    </row>
    <row r="284" spans="1:8">
      <c r="A284" s="10">
        <f t="shared" si="8"/>
        <v>283</v>
      </c>
      <c r="B284" s="10">
        <v>4</v>
      </c>
      <c r="C284" s="9" t="s">
        <v>714</v>
      </c>
      <c r="D284" s="9" t="s">
        <v>388</v>
      </c>
      <c r="E284" s="9" t="s">
        <v>860</v>
      </c>
      <c r="F284" s="4" t="s">
        <v>389</v>
      </c>
      <c r="G284" s="4" t="s">
        <v>436</v>
      </c>
      <c r="H284" t="str">
        <f t="shared" si="9"/>
        <v/>
      </c>
    </row>
    <row r="285" spans="1:8" ht="45">
      <c r="A285" s="10">
        <f t="shared" si="8"/>
        <v>284</v>
      </c>
      <c r="B285" s="10">
        <v>4</v>
      </c>
      <c r="C285" s="9" t="s">
        <v>714</v>
      </c>
      <c r="D285" s="9" t="s">
        <v>715</v>
      </c>
      <c r="E285" s="4" t="s">
        <v>1019</v>
      </c>
      <c r="F285" s="8" t="s">
        <v>924</v>
      </c>
      <c r="G285" s="4" t="s">
        <v>436</v>
      </c>
      <c r="H285" t="str">
        <f t="shared" si="9"/>
        <v/>
      </c>
    </row>
    <row r="286" spans="1:8" ht="45">
      <c r="A286" s="10">
        <f t="shared" si="8"/>
        <v>285</v>
      </c>
      <c r="B286" s="10">
        <v>4</v>
      </c>
      <c r="C286" s="9" t="s">
        <v>714</v>
      </c>
      <c r="D286" s="9" t="s">
        <v>716</v>
      </c>
      <c r="E286" s="4" t="s">
        <v>1019</v>
      </c>
      <c r="F286" s="8" t="s">
        <v>925</v>
      </c>
      <c r="G286" s="4" t="s">
        <v>436</v>
      </c>
      <c r="H286" t="str">
        <f t="shared" si="9"/>
        <v/>
      </c>
    </row>
    <row r="287" spans="1:8">
      <c r="A287" s="10">
        <f t="shared" si="8"/>
        <v>286</v>
      </c>
      <c r="B287" s="10">
        <v>3</v>
      </c>
      <c r="C287" s="9" t="s">
        <v>714</v>
      </c>
      <c r="D287" s="9" t="s">
        <v>698</v>
      </c>
      <c r="E287" s="4" t="s">
        <v>1019</v>
      </c>
      <c r="F287" s="4" t="s">
        <v>158</v>
      </c>
      <c r="G287" s="4" t="s">
        <v>436</v>
      </c>
      <c r="H287" t="str">
        <f t="shared" si="9"/>
        <v/>
      </c>
    </row>
    <row r="288" spans="1:8">
      <c r="A288" s="10">
        <f t="shared" si="8"/>
        <v>287</v>
      </c>
      <c r="B288" s="10">
        <v>4</v>
      </c>
      <c r="C288" s="9" t="s">
        <v>714</v>
      </c>
      <c r="D288" s="4" t="s">
        <v>1020</v>
      </c>
      <c r="E288" s="4" t="s">
        <v>1019</v>
      </c>
      <c r="F288" s="4" t="s">
        <v>1021</v>
      </c>
      <c r="G288" s="4" t="s">
        <v>436</v>
      </c>
      <c r="H288" t="str">
        <f t="shared" si="9"/>
        <v/>
      </c>
    </row>
    <row r="289" spans="1:8">
      <c r="A289" s="10">
        <f t="shared" si="8"/>
        <v>288</v>
      </c>
      <c r="B289" s="10">
        <v>4</v>
      </c>
      <c r="C289" s="9" t="s">
        <v>714</v>
      </c>
      <c r="D289" s="4" t="s">
        <v>1022</v>
      </c>
      <c r="E289" s="4" t="s">
        <v>1023</v>
      </c>
      <c r="F289" s="4" t="s">
        <v>1024</v>
      </c>
      <c r="G289" s="4" t="s">
        <v>436</v>
      </c>
      <c r="H289" t="str">
        <f t="shared" si="9"/>
        <v/>
      </c>
    </row>
    <row r="290" spans="1:8">
      <c r="A290" s="10">
        <f t="shared" si="8"/>
        <v>289</v>
      </c>
      <c r="B290" s="10">
        <v>4</v>
      </c>
      <c r="C290" s="9" t="s">
        <v>714</v>
      </c>
      <c r="D290" s="4" t="s">
        <v>1025</v>
      </c>
      <c r="E290" s="4" t="s">
        <v>1023</v>
      </c>
      <c r="F290" s="4" t="s">
        <v>1026</v>
      </c>
      <c r="G290" s="4" t="s">
        <v>436</v>
      </c>
      <c r="H290" t="str">
        <f t="shared" si="9"/>
        <v/>
      </c>
    </row>
    <row r="291" spans="1:8">
      <c r="A291" s="10">
        <f t="shared" si="8"/>
        <v>290</v>
      </c>
      <c r="B291" s="10">
        <v>4</v>
      </c>
      <c r="C291" s="9" t="s">
        <v>591</v>
      </c>
      <c r="D291" s="9" t="s">
        <v>592</v>
      </c>
      <c r="E291" s="4" t="s">
        <v>1027</v>
      </c>
      <c r="F291" s="4" t="s">
        <v>594</v>
      </c>
      <c r="G291" s="4" t="s">
        <v>436</v>
      </c>
      <c r="H291" t="str">
        <f t="shared" si="9"/>
        <v/>
      </c>
    </row>
    <row r="292" spans="1:8">
      <c r="A292" s="10">
        <f t="shared" si="8"/>
        <v>291</v>
      </c>
      <c r="B292" s="10">
        <v>5</v>
      </c>
      <c r="C292" s="9" t="s">
        <v>591</v>
      </c>
      <c r="D292" s="9" t="s">
        <v>593</v>
      </c>
      <c r="E292" s="4" t="s">
        <v>1027</v>
      </c>
      <c r="F292" s="4" t="s">
        <v>595</v>
      </c>
      <c r="G292" s="4" t="s">
        <v>436</v>
      </c>
      <c r="H292" t="str">
        <f t="shared" si="9"/>
        <v/>
      </c>
    </row>
    <row r="293" spans="1:8">
      <c r="A293" s="10">
        <f t="shared" si="8"/>
        <v>292</v>
      </c>
      <c r="B293" s="10">
        <v>4</v>
      </c>
      <c r="C293" s="4" t="s">
        <v>591</v>
      </c>
      <c r="D293" s="4" t="s">
        <v>1028</v>
      </c>
      <c r="E293" s="4" t="s">
        <v>1027</v>
      </c>
      <c r="F293" s="4" t="s">
        <v>1030</v>
      </c>
      <c r="G293" s="4" t="s">
        <v>436</v>
      </c>
      <c r="H293" t="str">
        <f t="shared" si="9"/>
        <v/>
      </c>
    </row>
    <row r="294" spans="1:8">
      <c r="A294" s="10">
        <f t="shared" si="8"/>
        <v>293</v>
      </c>
      <c r="B294" s="10">
        <v>4</v>
      </c>
      <c r="C294" s="4" t="s">
        <v>591</v>
      </c>
      <c r="D294" s="4" t="s">
        <v>1029</v>
      </c>
      <c r="E294" s="4" t="s">
        <v>1027</v>
      </c>
      <c r="F294" s="4" t="s">
        <v>1031</v>
      </c>
      <c r="G294" s="4" t="s">
        <v>436</v>
      </c>
      <c r="H294" t="str">
        <f t="shared" si="9"/>
        <v/>
      </c>
    </row>
    <row r="295" spans="1:8">
      <c r="A295" s="10">
        <f t="shared" si="8"/>
        <v>294</v>
      </c>
      <c r="B295" s="10">
        <v>4</v>
      </c>
      <c r="C295" s="9" t="s">
        <v>603</v>
      </c>
      <c r="D295" s="9" t="s">
        <v>604</v>
      </c>
      <c r="E295" t="s">
        <v>1032</v>
      </c>
      <c r="F295" s="4" t="s">
        <v>606</v>
      </c>
      <c r="G295" s="4" t="s">
        <v>436</v>
      </c>
      <c r="H295" t="str">
        <f t="shared" si="9"/>
        <v/>
      </c>
    </row>
    <row r="296" spans="1:8">
      <c r="A296" s="10">
        <f t="shared" si="8"/>
        <v>295</v>
      </c>
      <c r="B296" s="10">
        <v>4</v>
      </c>
      <c r="C296" s="9" t="s">
        <v>603</v>
      </c>
      <c r="D296" s="9" t="s">
        <v>605</v>
      </c>
      <c r="E296" t="s">
        <v>1032</v>
      </c>
      <c r="F296" s="4" t="s">
        <v>607</v>
      </c>
      <c r="G296" s="4" t="s">
        <v>436</v>
      </c>
      <c r="H296" t="str">
        <f t="shared" si="9"/>
        <v/>
      </c>
    </row>
    <row r="297" spans="1:8">
      <c r="A297" s="10">
        <f t="shared" ref="A297:A298" si="10">ROW()-1</f>
        <v>296</v>
      </c>
      <c r="B297" s="10">
        <v>4</v>
      </c>
      <c r="C297" t="s">
        <v>603</v>
      </c>
      <c r="D297" t="s">
        <v>1033</v>
      </c>
      <c r="E297" t="s">
        <v>1032</v>
      </c>
      <c r="F297" s="4" t="s">
        <v>1035</v>
      </c>
      <c r="G297" s="4" t="s">
        <v>436</v>
      </c>
      <c r="H297" t="str">
        <f t="shared" si="9"/>
        <v/>
      </c>
    </row>
    <row r="298" spans="1:8">
      <c r="A298" s="10">
        <f t="shared" si="10"/>
        <v>297</v>
      </c>
      <c r="B298" s="10">
        <v>4</v>
      </c>
      <c r="C298" t="s">
        <v>603</v>
      </c>
      <c r="D298" t="s">
        <v>1034</v>
      </c>
      <c r="E298" t="s">
        <v>1032</v>
      </c>
      <c r="F298" s="4" t="s">
        <v>1036</v>
      </c>
      <c r="G298" s="4" t="s">
        <v>436</v>
      </c>
      <c r="H298" t="str">
        <f t="shared" si="9"/>
        <v/>
      </c>
    </row>
    <row r="299" spans="1:8">
      <c r="A299" s="10">
        <f>ROW()-1</f>
        <v>298</v>
      </c>
      <c r="B299" s="10">
        <v>4</v>
      </c>
      <c r="C299" s="9" t="s">
        <v>201</v>
      </c>
      <c r="D299" s="9" t="s">
        <v>202</v>
      </c>
      <c r="E299" t="s">
        <v>1037</v>
      </c>
      <c r="F299" s="4" t="s">
        <v>203</v>
      </c>
      <c r="G299" s="4" t="s">
        <v>436</v>
      </c>
      <c r="H299" t="str">
        <f t="shared" si="9"/>
        <v/>
      </c>
    </row>
    <row r="300" spans="1:8">
      <c r="A300" s="10">
        <f>ROW()-1</f>
        <v>299</v>
      </c>
      <c r="B300" s="10">
        <v>4</v>
      </c>
      <c r="C300" s="9" t="s">
        <v>201</v>
      </c>
      <c r="D300" s="9" t="s">
        <v>204</v>
      </c>
      <c r="E300" t="s">
        <v>1037</v>
      </c>
      <c r="F300" s="4" t="s">
        <v>205</v>
      </c>
      <c r="G300" s="4" t="s">
        <v>436</v>
      </c>
      <c r="H300" t="str">
        <f t="shared" si="9"/>
        <v/>
      </c>
    </row>
    <row r="301" spans="1:8">
      <c r="A301" s="10">
        <f>ROW()-1</f>
        <v>300</v>
      </c>
      <c r="B301" s="10">
        <v>4</v>
      </c>
      <c r="C301" s="9" t="s">
        <v>201</v>
      </c>
      <c r="D301" s="9" t="s">
        <v>206</v>
      </c>
      <c r="E301" t="s">
        <v>1037</v>
      </c>
      <c r="F301" s="4" t="s">
        <v>207</v>
      </c>
      <c r="G301" s="4" t="s">
        <v>436</v>
      </c>
      <c r="H301" t="str">
        <f t="shared" si="9"/>
        <v/>
      </c>
    </row>
    <row r="302" spans="1:8">
      <c r="A302" s="10">
        <f t="shared" ref="A302:A303" si="11">ROW()-1</f>
        <v>301</v>
      </c>
      <c r="B302" s="10">
        <v>4</v>
      </c>
      <c r="C302" t="s">
        <v>201</v>
      </c>
      <c r="D302" t="s">
        <v>1038</v>
      </c>
      <c r="E302" t="s">
        <v>1037</v>
      </c>
      <c r="F302" t="s">
        <v>1039</v>
      </c>
      <c r="G302" s="4" t="s">
        <v>436</v>
      </c>
    </row>
    <row r="303" spans="1:8">
      <c r="A303" s="10">
        <f t="shared" si="11"/>
        <v>302</v>
      </c>
      <c r="B303" s="10">
        <v>4</v>
      </c>
      <c r="C303" t="s">
        <v>201</v>
      </c>
      <c r="D303" t="s">
        <v>1040</v>
      </c>
      <c r="E303" t="s">
        <v>1041</v>
      </c>
      <c r="F303" t="s">
        <v>1042</v>
      </c>
      <c r="G303" s="4" t="s">
        <v>436</v>
      </c>
    </row>
    <row r="304" spans="1:8">
      <c r="A304" s="10">
        <f t="shared" ref="A304:A348" si="12">ROW()-1</f>
        <v>303</v>
      </c>
      <c r="B304" s="10">
        <v>3</v>
      </c>
      <c r="C304" s="9" t="s">
        <v>836</v>
      </c>
      <c r="D304" s="9" t="s">
        <v>775</v>
      </c>
      <c r="E304" s="9" t="s">
        <v>781</v>
      </c>
      <c r="F304" s="4" t="s">
        <v>776</v>
      </c>
      <c r="G304" s="4" t="s">
        <v>436</v>
      </c>
    </row>
    <row r="305" spans="1:8">
      <c r="A305" s="10">
        <f t="shared" si="12"/>
        <v>304</v>
      </c>
      <c r="B305" s="10">
        <v>2</v>
      </c>
      <c r="C305" s="9" t="s">
        <v>836</v>
      </c>
      <c r="D305" s="9" t="s">
        <v>743</v>
      </c>
      <c r="E305" s="9" t="s">
        <v>785</v>
      </c>
      <c r="F305" s="4" t="s">
        <v>757</v>
      </c>
      <c r="G305" s="4" t="s">
        <v>436</v>
      </c>
    </row>
    <row r="306" spans="1:8" ht="30">
      <c r="A306" s="10">
        <f t="shared" si="12"/>
        <v>305</v>
      </c>
      <c r="B306" s="10">
        <v>4</v>
      </c>
      <c r="C306" s="9" t="s">
        <v>836</v>
      </c>
      <c r="D306" s="9" t="s">
        <v>581</v>
      </c>
      <c r="E306" s="9" t="s">
        <v>781</v>
      </c>
      <c r="F306" s="8" t="s">
        <v>926</v>
      </c>
      <c r="G306" s="4" t="s">
        <v>436</v>
      </c>
    </row>
    <row r="307" spans="1:8">
      <c r="A307" s="10">
        <f t="shared" si="12"/>
        <v>306</v>
      </c>
      <c r="B307" s="10">
        <v>3</v>
      </c>
      <c r="C307" s="9" t="s">
        <v>822</v>
      </c>
      <c r="D307" s="9" t="s">
        <v>12</v>
      </c>
      <c r="E307" s="9" t="s">
        <v>785</v>
      </c>
      <c r="F307" s="4" t="s">
        <v>13</v>
      </c>
      <c r="G307" s="4" t="s">
        <v>436</v>
      </c>
    </row>
    <row r="308" spans="1:8">
      <c r="A308" s="10">
        <f t="shared" si="12"/>
        <v>307</v>
      </c>
      <c r="B308" s="10">
        <v>4</v>
      </c>
      <c r="C308" s="9" t="s">
        <v>858</v>
      </c>
      <c r="D308" s="9" t="s">
        <v>398</v>
      </c>
      <c r="E308" s="9" t="s">
        <v>783</v>
      </c>
      <c r="F308" s="4" t="s">
        <v>399</v>
      </c>
      <c r="G308" s="4" t="s">
        <v>436</v>
      </c>
    </row>
    <row r="309" spans="1:8">
      <c r="A309" s="10">
        <f t="shared" si="12"/>
        <v>308</v>
      </c>
      <c r="B309" s="10">
        <v>4</v>
      </c>
      <c r="C309" s="9" t="s">
        <v>858</v>
      </c>
      <c r="D309" s="9" t="s">
        <v>403</v>
      </c>
      <c r="E309" s="9" t="s">
        <v>783</v>
      </c>
      <c r="F309" s="4" t="s">
        <v>404</v>
      </c>
      <c r="G309" s="4" t="s">
        <v>436</v>
      </c>
    </row>
    <row r="310" spans="1:8">
      <c r="A310" s="10">
        <f t="shared" si="12"/>
        <v>309</v>
      </c>
      <c r="B310" s="10">
        <v>4</v>
      </c>
      <c r="C310" s="9" t="s">
        <v>662</v>
      </c>
      <c r="D310" s="9" t="s">
        <v>663</v>
      </c>
      <c r="E310" t="s">
        <v>1043</v>
      </c>
      <c r="F310" s="4" t="s">
        <v>664</v>
      </c>
      <c r="G310" s="4" t="s">
        <v>436</v>
      </c>
    </row>
    <row r="311" spans="1:8">
      <c r="A311" s="10">
        <f t="shared" si="12"/>
        <v>310</v>
      </c>
      <c r="B311" s="10">
        <v>4</v>
      </c>
      <c r="C311" s="9" t="s">
        <v>662</v>
      </c>
      <c r="D311" s="9" t="s">
        <v>666</v>
      </c>
      <c r="E311" t="s">
        <v>1043</v>
      </c>
      <c r="F311" s="4" t="s">
        <v>665</v>
      </c>
      <c r="G311" s="4" t="s">
        <v>436</v>
      </c>
      <c r="H311" t="str">
        <f t="shared" ref="H311:H342" si="13">IF(COUNTIFS(D:D,D311)&gt;1,"DUBBEL","")</f>
        <v/>
      </c>
    </row>
    <row r="312" spans="1:8">
      <c r="A312" s="10">
        <f t="shared" si="12"/>
        <v>311</v>
      </c>
      <c r="B312" s="10">
        <v>4</v>
      </c>
      <c r="C312" s="9" t="s">
        <v>662</v>
      </c>
      <c r="D312" s="9" t="s">
        <v>667</v>
      </c>
      <c r="E312" t="s">
        <v>1043</v>
      </c>
      <c r="F312" s="4" t="s">
        <v>668</v>
      </c>
      <c r="G312" s="4" t="s">
        <v>436</v>
      </c>
      <c r="H312" t="str">
        <f t="shared" si="13"/>
        <v/>
      </c>
    </row>
    <row r="313" spans="1:8">
      <c r="A313" s="10">
        <f t="shared" si="12"/>
        <v>312</v>
      </c>
      <c r="B313" s="10">
        <v>4</v>
      </c>
      <c r="C313" s="9" t="s">
        <v>662</v>
      </c>
      <c r="D313" s="9" t="s">
        <v>670</v>
      </c>
      <c r="E313" t="s">
        <v>1043</v>
      </c>
      <c r="F313" s="4" t="s">
        <v>669</v>
      </c>
      <c r="G313" s="4" t="s">
        <v>436</v>
      </c>
      <c r="H313" t="str">
        <f t="shared" si="13"/>
        <v/>
      </c>
    </row>
    <row r="314" spans="1:8">
      <c r="A314" s="10">
        <f t="shared" si="12"/>
        <v>313</v>
      </c>
      <c r="B314" s="10">
        <v>4</v>
      </c>
      <c r="C314" s="9" t="s">
        <v>662</v>
      </c>
      <c r="D314" s="9" t="s">
        <v>671</v>
      </c>
      <c r="E314" t="s">
        <v>1043</v>
      </c>
      <c r="F314" s="4" t="s">
        <v>672</v>
      </c>
      <c r="G314" s="4" t="s">
        <v>436</v>
      </c>
      <c r="H314" t="str">
        <f t="shared" si="13"/>
        <v/>
      </c>
    </row>
    <row r="315" spans="1:8">
      <c r="A315" s="10">
        <f t="shared" si="12"/>
        <v>314</v>
      </c>
      <c r="B315" s="10">
        <v>4</v>
      </c>
      <c r="C315" s="9" t="s">
        <v>662</v>
      </c>
      <c r="D315" s="9" t="s">
        <v>673</v>
      </c>
      <c r="E315" t="s">
        <v>1043</v>
      </c>
      <c r="F315" s="4" t="s">
        <v>674</v>
      </c>
      <c r="G315" s="4" t="s">
        <v>436</v>
      </c>
      <c r="H315" t="str">
        <f t="shared" si="13"/>
        <v/>
      </c>
    </row>
    <row r="316" spans="1:8">
      <c r="A316" s="10">
        <f t="shared" si="12"/>
        <v>315</v>
      </c>
      <c r="B316" s="10">
        <v>4</v>
      </c>
      <c r="C316" s="9" t="s">
        <v>662</v>
      </c>
      <c r="D316" s="9" t="s">
        <v>675</v>
      </c>
      <c r="E316" t="s">
        <v>1043</v>
      </c>
      <c r="F316" s="4" t="s">
        <v>676</v>
      </c>
      <c r="G316" s="4" t="s">
        <v>436</v>
      </c>
      <c r="H316" t="str">
        <f t="shared" si="13"/>
        <v/>
      </c>
    </row>
    <row r="317" spans="1:8">
      <c r="A317" s="10">
        <f t="shared" si="12"/>
        <v>316</v>
      </c>
      <c r="B317" s="10">
        <v>4</v>
      </c>
      <c r="C317" s="9" t="s">
        <v>662</v>
      </c>
      <c r="D317" s="9" t="s">
        <v>677</v>
      </c>
      <c r="E317" t="s">
        <v>1043</v>
      </c>
      <c r="F317" s="4" t="s">
        <v>678</v>
      </c>
      <c r="G317" s="4" t="s">
        <v>436</v>
      </c>
      <c r="H317" t="str">
        <f t="shared" si="13"/>
        <v/>
      </c>
    </row>
    <row r="318" spans="1:8">
      <c r="A318" s="10">
        <f t="shared" si="12"/>
        <v>317</v>
      </c>
      <c r="B318" s="10">
        <v>4</v>
      </c>
      <c r="C318" s="9" t="s">
        <v>586</v>
      </c>
      <c r="D318" s="9" t="s">
        <v>587</v>
      </c>
      <c r="E318" t="s">
        <v>845</v>
      </c>
      <c r="F318" s="4" t="s">
        <v>589</v>
      </c>
      <c r="G318" s="4" t="s">
        <v>436</v>
      </c>
      <c r="H318" t="str">
        <f t="shared" si="13"/>
        <v/>
      </c>
    </row>
    <row r="319" spans="1:8">
      <c r="A319" s="10">
        <f t="shared" si="12"/>
        <v>318</v>
      </c>
      <c r="B319" s="10" t="s">
        <v>871</v>
      </c>
      <c r="C319" s="9" t="s">
        <v>586</v>
      </c>
      <c r="D319" s="9" t="s">
        <v>588</v>
      </c>
      <c r="E319" t="s">
        <v>845</v>
      </c>
      <c r="F319" s="4" t="s">
        <v>590</v>
      </c>
      <c r="G319" s="4" t="s">
        <v>436</v>
      </c>
      <c r="H319" t="str">
        <f t="shared" si="13"/>
        <v/>
      </c>
    </row>
    <row r="320" spans="1:8">
      <c r="A320" s="10">
        <f t="shared" si="12"/>
        <v>319</v>
      </c>
      <c r="B320" s="10">
        <v>4</v>
      </c>
      <c r="C320" t="s">
        <v>586</v>
      </c>
      <c r="D320" t="s">
        <v>1062</v>
      </c>
      <c r="E320" t="s">
        <v>1063</v>
      </c>
      <c r="F320" t="s">
        <v>1064</v>
      </c>
      <c r="G320" s="4" t="s">
        <v>436</v>
      </c>
      <c r="H320" t="str">
        <f t="shared" si="13"/>
        <v/>
      </c>
    </row>
    <row r="321" spans="1:8">
      <c r="A321" s="10">
        <f t="shared" si="12"/>
        <v>320</v>
      </c>
      <c r="B321" s="10">
        <v>4</v>
      </c>
      <c r="C321" t="s">
        <v>586</v>
      </c>
      <c r="D321" t="s">
        <v>1065</v>
      </c>
      <c r="E321" t="s">
        <v>845</v>
      </c>
      <c r="F321" t="s">
        <v>1066</v>
      </c>
      <c r="G321" s="4" t="s">
        <v>436</v>
      </c>
      <c r="H321" t="str">
        <f t="shared" si="13"/>
        <v/>
      </c>
    </row>
    <row r="322" spans="1:8">
      <c r="A322" s="10">
        <f t="shared" si="12"/>
        <v>321</v>
      </c>
      <c r="B322" s="10">
        <v>4</v>
      </c>
      <c r="C322" t="s">
        <v>586</v>
      </c>
      <c r="D322" t="s">
        <v>1067</v>
      </c>
      <c r="E322" t="s">
        <v>845</v>
      </c>
      <c r="F322" t="s">
        <v>1068</v>
      </c>
      <c r="G322" s="4" t="s">
        <v>436</v>
      </c>
      <c r="H322" t="str">
        <f t="shared" si="13"/>
        <v/>
      </c>
    </row>
    <row r="323" spans="1:8">
      <c r="A323" s="10">
        <f t="shared" si="12"/>
        <v>322</v>
      </c>
      <c r="B323" s="10">
        <v>4</v>
      </c>
      <c r="C323" s="9" t="s">
        <v>816</v>
      </c>
      <c r="D323" s="9" t="s">
        <v>14</v>
      </c>
      <c r="E323" t="s">
        <v>1009</v>
      </c>
      <c r="F323" s="4" t="s">
        <v>15</v>
      </c>
      <c r="G323" s="4" t="s">
        <v>436</v>
      </c>
      <c r="H323" t="str">
        <f t="shared" si="13"/>
        <v/>
      </c>
    </row>
    <row r="324" spans="1:8" ht="90">
      <c r="A324" s="10">
        <f t="shared" si="12"/>
        <v>323</v>
      </c>
      <c r="B324" s="10">
        <v>4</v>
      </c>
      <c r="C324" s="9" t="s">
        <v>600</v>
      </c>
      <c r="D324" s="9" t="s">
        <v>601</v>
      </c>
      <c r="E324" t="s">
        <v>1069</v>
      </c>
      <c r="F324" s="8" t="s">
        <v>1071</v>
      </c>
      <c r="G324" s="4" t="s">
        <v>436</v>
      </c>
      <c r="H324" t="str">
        <f t="shared" si="13"/>
        <v/>
      </c>
    </row>
    <row r="325" spans="1:8" ht="60">
      <c r="A325" s="10">
        <f t="shared" si="12"/>
        <v>324</v>
      </c>
      <c r="B325" s="10">
        <v>4</v>
      </c>
      <c r="C325" s="9" t="s">
        <v>600</v>
      </c>
      <c r="D325" s="9" t="s">
        <v>602</v>
      </c>
      <c r="E325" t="s">
        <v>1070</v>
      </c>
      <c r="F325" s="8" t="s">
        <v>1072</v>
      </c>
      <c r="G325" s="4" t="s">
        <v>436</v>
      </c>
      <c r="H325" t="str">
        <f t="shared" si="13"/>
        <v/>
      </c>
    </row>
    <row r="326" spans="1:8">
      <c r="A326" s="10">
        <f>ROW()-1</f>
        <v>325</v>
      </c>
      <c r="B326" s="10">
        <v>5</v>
      </c>
      <c r="C326" s="9" t="s">
        <v>812</v>
      </c>
      <c r="D326" s="9" t="s">
        <v>455</v>
      </c>
      <c r="E326" s="9" t="s">
        <v>785</v>
      </c>
      <c r="F326" s="4" t="s">
        <v>456</v>
      </c>
      <c r="G326" s="4" t="s">
        <v>436</v>
      </c>
      <c r="H326" t="str">
        <f t="shared" si="13"/>
        <v/>
      </c>
    </row>
    <row r="327" spans="1:8">
      <c r="A327" s="10">
        <f t="shared" ref="A327:A330" si="14">ROW()-1</f>
        <v>326</v>
      </c>
      <c r="B327" s="10">
        <v>5</v>
      </c>
      <c r="C327" s="9" t="s">
        <v>812</v>
      </c>
      <c r="D327" t="s">
        <v>1073</v>
      </c>
      <c r="E327" t="s">
        <v>1075</v>
      </c>
      <c r="F327" t="s">
        <v>1074</v>
      </c>
      <c r="G327" s="4" t="s">
        <v>436</v>
      </c>
      <c r="H327" t="str">
        <f t="shared" si="13"/>
        <v/>
      </c>
    </row>
    <row r="328" spans="1:8">
      <c r="A328" s="10">
        <f t="shared" si="14"/>
        <v>327</v>
      </c>
      <c r="B328" s="10">
        <v>6</v>
      </c>
      <c r="C328" s="9" t="s">
        <v>812</v>
      </c>
      <c r="D328" t="s">
        <v>1076</v>
      </c>
      <c r="E328" t="s">
        <v>1075</v>
      </c>
      <c r="F328" t="s">
        <v>1079</v>
      </c>
      <c r="G328" s="4" t="s">
        <v>436</v>
      </c>
      <c r="H328" t="str">
        <f t="shared" si="13"/>
        <v/>
      </c>
    </row>
    <row r="329" spans="1:8">
      <c r="A329" s="10">
        <f t="shared" si="14"/>
        <v>328</v>
      </c>
      <c r="B329" s="10">
        <v>5</v>
      </c>
      <c r="C329" s="9" t="s">
        <v>812</v>
      </c>
      <c r="D329" t="s">
        <v>1077</v>
      </c>
      <c r="E329" t="s">
        <v>1075</v>
      </c>
      <c r="F329" t="s">
        <v>1080</v>
      </c>
      <c r="G329" s="4" t="s">
        <v>436</v>
      </c>
      <c r="H329" t="str">
        <f t="shared" si="13"/>
        <v/>
      </c>
    </row>
    <row r="330" spans="1:8">
      <c r="A330" s="10">
        <f t="shared" si="14"/>
        <v>329</v>
      </c>
      <c r="B330" s="10">
        <v>5</v>
      </c>
      <c r="C330" s="9" t="s">
        <v>812</v>
      </c>
      <c r="D330" t="s">
        <v>1078</v>
      </c>
      <c r="E330" t="s">
        <v>1075</v>
      </c>
      <c r="F330" t="s">
        <v>1081</v>
      </c>
      <c r="G330" s="4" t="s">
        <v>436</v>
      </c>
      <c r="H330" t="str">
        <f t="shared" si="13"/>
        <v/>
      </c>
    </row>
    <row r="331" spans="1:8" ht="60">
      <c r="A331" s="10">
        <f t="shared" si="12"/>
        <v>330</v>
      </c>
      <c r="B331" s="10">
        <v>5</v>
      </c>
      <c r="C331" s="9" t="s">
        <v>728</v>
      </c>
      <c r="D331" s="9" t="s">
        <v>729</v>
      </c>
      <c r="E331" t="s">
        <v>1082</v>
      </c>
      <c r="F331" s="8" t="s">
        <v>1083</v>
      </c>
      <c r="G331" s="4" t="s">
        <v>436</v>
      </c>
      <c r="H331" t="str">
        <f t="shared" si="13"/>
        <v/>
      </c>
    </row>
    <row r="332" spans="1:8">
      <c r="A332" s="10">
        <f t="shared" si="12"/>
        <v>331</v>
      </c>
      <c r="B332" s="10">
        <v>5</v>
      </c>
      <c r="C332" s="9" t="s">
        <v>728</v>
      </c>
      <c r="D332" s="9" t="s">
        <v>730</v>
      </c>
      <c r="E332" t="s">
        <v>1082</v>
      </c>
      <c r="F332" t="s">
        <v>1085</v>
      </c>
      <c r="G332" s="4" t="s">
        <v>436</v>
      </c>
      <c r="H332" t="str">
        <f t="shared" si="13"/>
        <v/>
      </c>
    </row>
    <row r="333" spans="1:8" s="9" customFormat="1" ht="45">
      <c r="A333" s="10">
        <f t="shared" si="12"/>
        <v>332</v>
      </c>
      <c r="B333" s="10">
        <v>5</v>
      </c>
      <c r="C333" s="9" t="s">
        <v>728</v>
      </c>
      <c r="D333" t="s">
        <v>1084</v>
      </c>
      <c r="E333" t="s">
        <v>1082</v>
      </c>
      <c r="F333" s="12" t="s">
        <v>1098</v>
      </c>
      <c r="G333" s="4" t="s">
        <v>436</v>
      </c>
      <c r="H333" t="str">
        <f t="shared" si="13"/>
        <v/>
      </c>
    </row>
    <row r="334" spans="1:8" s="9" customFormat="1" ht="45">
      <c r="A334" s="10">
        <f t="shared" si="12"/>
        <v>333</v>
      </c>
      <c r="B334" s="10">
        <v>5</v>
      </c>
      <c r="C334" s="9" t="s">
        <v>728</v>
      </c>
      <c r="D334" t="s">
        <v>1086</v>
      </c>
      <c r="E334" t="s">
        <v>1082</v>
      </c>
      <c r="F334" s="12" t="s">
        <v>1099</v>
      </c>
      <c r="G334" s="4" t="s">
        <v>436</v>
      </c>
      <c r="H334" t="str">
        <f t="shared" si="13"/>
        <v/>
      </c>
    </row>
    <row r="335" spans="1:8" s="9" customFormat="1" ht="45">
      <c r="A335" s="10">
        <f t="shared" si="12"/>
        <v>334</v>
      </c>
      <c r="B335" s="10">
        <v>5</v>
      </c>
      <c r="C335" s="9" t="s">
        <v>728</v>
      </c>
      <c r="D335" t="s">
        <v>1087</v>
      </c>
      <c r="E335" t="s">
        <v>1082</v>
      </c>
      <c r="F335" s="12" t="s">
        <v>1100</v>
      </c>
      <c r="G335" s="4" t="s">
        <v>436</v>
      </c>
      <c r="H335" t="str">
        <f t="shared" si="13"/>
        <v/>
      </c>
    </row>
    <row r="336" spans="1:8" s="9" customFormat="1" ht="30">
      <c r="A336" s="10">
        <f t="shared" si="12"/>
        <v>335</v>
      </c>
      <c r="B336" s="10">
        <v>5</v>
      </c>
      <c r="C336" s="9" t="s">
        <v>728</v>
      </c>
      <c r="D336" t="s">
        <v>1088</v>
      </c>
      <c r="E336" t="s">
        <v>1082</v>
      </c>
      <c r="F336" s="12" t="s">
        <v>1101</v>
      </c>
      <c r="G336" s="4" t="s">
        <v>436</v>
      </c>
      <c r="H336" t="str">
        <f t="shared" si="13"/>
        <v/>
      </c>
    </row>
    <row r="337" spans="1:8" s="9" customFormat="1" ht="45">
      <c r="A337" s="10">
        <f t="shared" si="12"/>
        <v>336</v>
      </c>
      <c r="B337" s="10">
        <v>5</v>
      </c>
      <c r="C337" s="9" t="s">
        <v>728</v>
      </c>
      <c r="D337" t="s">
        <v>1097</v>
      </c>
      <c r="E337" t="s">
        <v>1091</v>
      </c>
      <c r="F337" s="12" t="s">
        <v>1102</v>
      </c>
      <c r="G337" s="4" t="s">
        <v>436</v>
      </c>
      <c r="H337" t="str">
        <f t="shared" si="13"/>
        <v/>
      </c>
    </row>
    <row r="338" spans="1:8" s="9" customFormat="1" ht="45">
      <c r="A338" s="10">
        <f t="shared" si="12"/>
        <v>337</v>
      </c>
      <c r="B338" s="10">
        <v>5</v>
      </c>
      <c r="C338" s="9" t="s">
        <v>728</v>
      </c>
      <c r="D338" t="s">
        <v>1089</v>
      </c>
      <c r="E338" t="s">
        <v>1082</v>
      </c>
      <c r="F338" s="12" t="s">
        <v>1103</v>
      </c>
      <c r="G338" s="4" t="s">
        <v>436</v>
      </c>
      <c r="H338" t="str">
        <f t="shared" si="13"/>
        <v/>
      </c>
    </row>
    <row r="339" spans="1:8" s="9" customFormat="1">
      <c r="A339" s="10">
        <f t="shared" si="12"/>
        <v>338</v>
      </c>
      <c r="B339" s="10">
        <v>5</v>
      </c>
      <c r="C339" s="9" t="s">
        <v>728</v>
      </c>
      <c r="D339" t="s">
        <v>1090</v>
      </c>
      <c r="E339" t="s">
        <v>1091</v>
      </c>
      <c r="F339" t="s">
        <v>1092</v>
      </c>
      <c r="G339" s="4" t="s">
        <v>436</v>
      </c>
      <c r="H339" t="str">
        <f t="shared" si="13"/>
        <v/>
      </c>
    </row>
    <row r="340" spans="1:8" s="9" customFormat="1">
      <c r="A340" s="10">
        <f t="shared" si="12"/>
        <v>339</v>
      </c>
      <c r="B340" s="10">
        <v>6</v>
      </c>
      <c r="C340" s="9" t="s">
        <v>728</v>
      </c>
      <c r="D340" t="s">
        <v>1093</v>
      </c>
      <c r="E340" t="s">
        <v>1091</v>
      </c>
      <c r="F340" t="s">
        <v>1094</v>
      </c>
      <c r="G340" s="4" t="s">
        <v>436</v>
      </c>
      <c r="H340" t="str">
        <f t="shared" si="13"/>
        <v/>
      </c>
    </row>
    <row r="341" spans="1:8" s="9" customFormat="1">
      <c r="A341" s="10">
        <f t="shared" si="12"/>
        <v>340</v>
      </c>
      <c r="B341" s="10">
        <v>6</v>
      </c>
      <c r="C341" s="9" t="s">
        <v>728</v>
      </c>
      <c r="D341" t="s">
        <v>1095</v>
      </c>
      <c r="E341" t="s">
        <v>1091</v>
      </c>
      <c r="F341" t="s">
        <v>1096</v>
      </c>
      <c r="G341" s="4" t="s">
        <v>436</v>
      </c>
      <c r="H341" t="str">
        <f t="shared" si="13"/>
        <v/>
      </c>
    </row>
    <row r="342" spans="1:8">
      <c r="A342" s="10">
        <f t="shared" si="12"/>
        <v>341</v>
      </c>
      <c r="B342" s="5" t="s">
        <v>1124</v>
      </c>
      <c r="C342" s="9" t="s">
        <v>291</v>
      </c>
      <c r="D342" s="9" t="s">
        <v>279</v>
      </c>
      <c r="E342" s="9" t="s">
        <v>854</v>
      </c>
      <c r="F342" s="4" t="s">
        <v>280</v>
      </c>
      <c r="G342" s="4" t="s">
        <v>436</v>
      </c>
      <c r="H342" t="str">
        <f t="shared" si="13"/>
        <v/>
      </c>
    </row>
    <row r="343" spans="1:8">
      <c r="A343" s="10">
        <f t="shared" si="12"/>
        <v>342</v>
      </c>
      <c r="B343" s="10">
        <v>4</v>
      </c>
      <c r="C343" t="s">
        <v>291</v>
      </c>
      <c r="D343" t="s">
        <v>1108</v>
      </c>
      <c r="E343" t="s">
        <v>1109</v>
      </c>
      <c r="F343" t="s">
        <v>1110</v>
      </c>
      <c r="G343" s="4" t="s">
        <v>436</v>
      </c>
      <c r="H343" t="str">
        <f t="shared" ref="H343:H374" si="15">IF(COUNTIFS(D:D,D343)&gt;1,"DUBBEL","")</f>
        <v/>
      </c>
    </row>
    <row r="344" spans="1:8">
      <c r="A344" s="10">
        <f t="shared" si="12"/>
        <v>343</v>
      </c>
      <c r="B344" s="5" t="s">
        <v>1124</v>
      </c>
      <c r="C344" t="s">
        <v>291</v>
      </c>
      <c r="D344" t="s">
        <v>304</v>
      </c>
      <c r="E344" t="s">
        <v>1109</v>
      </c>
      <c r="F344" t="s">
        <v>1111</v>
      </c>
      <c r="G344" s="4" t="s">
        <v>436</v>
      </c>
      <c r="H344" t="str">
        <f t="shared" si="15"/>
        <v/>
      </c>
    </row>
    <row r="345" spans="1:8">
      <c r="A345" s="10">
        <f t="shared" si="12"/>
        <v>344</v>
      </c>
      <c r="B345" s="10">
        <v>5</v>
      </c>
      <c r="C345" t="s">
        <v>291</v>
      </c>
      <c r="D345" t="s">
        <v>1117</v>
      </c>
      <c r="E345" t="s">
        <v>1115</v>
      </c>
      <c r="F345" t="s">
        <v>1118</v>
      </c>
      <c r="G345" s="4" t="s">
        <v>436</v>
      </c>
      <c r="H345" t="str">
        <f t="shared" si="15"/>
        <v/>
      </c>
    </row>
    <row r="346" spans="1:8">
      <c r="A346" s="10">
        <f t="shared" si="12"/>
        <v>345</v>
      </c>
      <c r="B346" s="10">
        <v>5</v>
      </c>
      <c r="C346" s="9" t="s">
        <v>291</v>
      </c>
      <c r="D346" s="9" t="s">
        <v>292</v>
      </c>
      <c r="E346" t="s">
        <v>1119</v>
      </c>
      <c r="F346" s="4" t="s">
        <v>293</v>
      </c>
      <c r="G346" s="4" t="s">
        <v>436</v>
      </c>
      <c r="H346" t="str">
        <f t="shared" si="15"/>
        <v/>
      </c>
    </row>
    <row r="347" spans="1:8">
      <c r="A347" s="10">
        <f t="shared" si="12"/>
        <v>346</v>
      </c>
      <c r="B347" s="10">
        <v>5</v>
      </c>
      <c r="C347" t="s">
        <v>291</v>
      </c>
      <c r="D347" t="s">
        <v>1114</v>
      </c>
      <c r="E347" t="s">
        <v>1115</v>
      </c>
      <c r="F347" t="s">
        <v>1116</v>
      </c>
      <c r="G347" s="4" t="s">
        <v>436</v>
      </c>
      <c r="H347" t="str">
        <f t="shared" si="15"/>
        <v/>
      </c>
    </row>
    <row r="348" spans="1:8">
      <c r="A348" s="10">
        <f t="shared" si="12"/>
        <v>347</v>
      </c>
      <c r="B348" s="10">
        <v>4</v>
      </c>
      <c r="C348" t="s">
        <v>291</v>
      </c>
      <c r="D348" t="s">
        <v>1120</v>
      </c>
      <c r="E348" t="s">
        <v>1121</v>
      </c>
      <c r="F348" t="s">
        <v>1122</v>
      </c>
      <c r="G348" s="4" t="s">
        <v>436</v>
      </c>
      <c r="H348" t="str">
        <f t="shared" si="15"/>
        <v/>
      </c>
    </row>
    <row r="349" spans="1:8">
      <c r="A349" s="10">
        <f t="shared" ref="A349:A363" si="16">ROW()-1</f>
        <v>348</v>
      </c>
      <c r="B349" s="10">
        <v>5</v>
      </c>
      <c r="C349" s="9" t="s">
        <v>291</v>
      </c>
      <c r="D349" s="9" t="s">
        <v>294</v>
      </c>
      <c r="E349" t="s">
        <v>1112</v>
      </c>
      <c r="F349" s="4" t="s">
        <v>295</v>
      </c>
      <c r="G349" s="4" t="s">
        <v>436</v>
      </c>
      <c r="H349" t="str">
        <f t="shared" si="15"/>
        <v/>
      </c>
    </row>
    <row r="350" spans="1:8">
      <c r="A350" s="10">
        <f t="shared" si="16"/>
        <v>349</v>
      </c>
      <c r="B350" s="5" t="s">
        <v>1124</v>
      </c>
      <c r="C350" s="9" t="s">
        <v>291</v>
      </c>
      <c r="D350" s="9" t="s">
        <v>296</v>
      </c>
      <c r="E350" t="s">
        <v>1109</v>
      </c>
      <c r="F350" s="4" t="s">
        <v>297</v>
      </c>
      <c r="G350" s="4" t="s">
        <v>436</v>
      </c>
      <c r="H350" t="str">
        <f t="shared" si="15"/>
        <v/>
      </c>
    </row>
    <row r="351" spans="1:8">
      <c r="A351" s="10">
        <f t="shared" si="16"/>
        <v>350</v>
      </c>
      <c r="B351" s="5" t="s">
        <v>1124</v>
      </c>
      <c r="C351" s="9" t="s">
        <v>291</v>
      </c>
      <c r="D351" s="9" t="s">
        <v>298</v>
      </c>
      <c r="E351" t="s">
        <v>1109</v>
      </c>
      <c r="F351" s="4" t="s">
        <v>299</v>
      </c>
      <c r="G351" s="4" t="s">
        <v>436</v>
      </c>
      <c r="H351" t="str">
        <f t="shared" si="15"/>
        <v/>
      </c>
    </row>
    <row r="352" spans="1:8">
      <c r="A352" s="10">
        <f t="shared" si="16"/>
        <v>351</v>
      </c>
      <c r="B352" s="5" t="s">
        <v>1124</v>
      </c>
      <c r="C352" s="9" t="s">
        <v>291</v>
      </c>
      <c r="D352" s="9" t="s">
        <v>300</v>
      </c>
      <c r="E352" t="s">
        <v>1109</v>
      </c>
      <c r="F352" s="4" t="s">
        <v>301</v>
      </c>
      <c r="G352" s="4" t="s">
        <v>436</v>
      </c>
      <c r="H352" t="str">
        <f t="shared" si="15"/>
        <v/>
      </c>
    </row>
    <row r="353" spans="1:8">
      <c r="A353" s="10">
        <f t="shared" si="16"/>
        <v>352</v>
      </c>
      <c r="B353" s="10">
        <v>4</v>
      </c>
      <c r="C353" s="9" t="s">
        <v>291</v>
      </c>
      <c r="D353" s="9" t="s">
        <v>302</v>
      </c>
      <c r="E353" t="s">
        <v>1113</v>
      </c>
      <c r="F353" s="4" t="s">
        <v>303</v>
      </c>
      <c r="G353" s="4" t="s">
        <v>436</v>
      </c>
      <c r="H353" t="str">
        <f t="shared" si="15"/>
        <v/>
      </c>
    </row>
    <row r="354" spans="1:8">
      <c r="A354" s="10">
        <f t="shared" si="16"/>
        <v>353</v>
      </c>
      <c r="B354" s="10">
        <v>4</v>
      </c>
      <c r="C354" s="9" t="s">
        <v>291</v>
      </c>
      <c r="D354" s="9" t="s">
        <v>305</v>
      </c>
      <c r="E354" t="s">
        <v>1109</v>
      </c>
      <c r="F354" s="4" t="s">
        <v>306</v>
      </c>
      <c r="G354" s="4" t="s">
        <v>436</v>
      </c>
      <c r="H354" t="str">
        <f t="shared" si="15"/>
        <v/>
      </c>
    </row>
    <row r="355" spans="1:8">
      <c r="A355" s="10">
        <f t="shared" si="16"/>
        <v>354</v>
      </c>
      <c r="B355" s="10">
        <v>4</v>
      </c>
      <c r="C355" s="9" t="s">
        <v>291</v>
      </c>
      <c r="D355" s="9" t="s">
        <v>307</v>
      </c>
      <c r="E355" s="9" t="s">
        <v>854</v>
      </c>
      <c r="F355" s="4" t="s">
        <v>308</v>
      </c>
      <c r="G355" s="4" t="s">
        <v>436</v>
      </c>
      <c r="H355" t="str">
        <f t="shared" si="15"/>
        <v/>
      </c>
    </row>
    <row r="356" spans="1:8">
      <c r="A356" s="10">
        <f t="shared" si="16"/>
        <v>355</v>
      </c>
      <c r="B356" s="10">
        <v>4</v>
      </c>
      <c r="C356" s="9" t="s">
        <v>291</v>
      </c>
      <c r="D356" s="9" t="s">
        <v>309</v>
      </c>
      <c r="E356" t="s">
        <v>1105</v>
      </c>
      <c r="F356" s="4" t="s">
        <v>310</v>
      </c>
      <c r="G356" s="4" t="s">
        <v>436</v>
      </c>
      <c r="H356" t="str">
        <f t="shared" si="15"/>
        <v/>
      </c>
    </row>
    <row r="357" spans="1:8">
      <c r="A357" s="10">
        <f t="shared" si="16"/>
        <v>356</v>
      </c>
      <c r="B357" s="10">
        <v>4</v>
      </c>
      <c r="C357" t="s">
        <v>291</v>
      </c>
      <c r="D357" t="s">
        <v>1106</v>
      </c>
      <c r="E357" t="s">
        <v>1105</v>
      </c>
      <c r="F357" t="s">
        <v>1107</v>
      </c>
      <c r="G357" s="4" t="s">
        <v>436</v>
      </c>
      <c r="H357" t="str">
        <f t="shared" si="15"/>
        <v/>
      </c>
    </row>
    <row r="358" spans="1:8">
      <c r="A358" s="10">
        <f t="shared" si="16"/>
        <v>357</v>
      </c>
      <c r="B358" s="10">
        <v>5</v>
      </c>
      <c r="C358" s="9" t="s">
        <v>291</v>
      </c>
      <c r="D358" s="9" t="s">
        <v>311</v>
      </c>
      <c r="E358" t="s">
        <v>1123</v>
      </c>
      <c r="F358" s="4" t="s">
        <v>312</v>
      </c>
      <c r="G358" s="4" t="s">
        <v>436</v>
      </c>
      <c r="H358" t="str">
        <f t="shared" si="15"/>
        <v/>
      </c>
    </row>
    <row r="359" spans="1:8">
      <c r="A359" s="10">
        <f t="shared" si="16"/>
        <v>358</v>
      </c>
      <c r="B359" s="10">
        <v>6</v>
      </c>
      <c r="C359" s="9" t="s">
        <v>291</v>
      </c>
      <c r="D359" s="9" t="s">
        <v>313</v>
      </c>
      <c r="E359" t="s">
        <v>1123</v>
      </c>
      <c r="F359" s="4" t="s">
        <v>314</v>
      </c>
      <c r="G359" s="4" t="s">
        <v>436</v>
      </c>
      <c r="H359" t="str">
        <f t="shared" si="15"/>
        <v/>
      </c>
    </row>
    <row r="360" spans="1:8">
      <c r="A360" s="10">
        <f t="shared" si="16"/>
        <v>359</v>
      </c>
      <c r="B360" s="10">
        <v>4</v>
      </c>
      <c r="C360" s="9" t="s">
        <v>291</v>
      </c>
      <c r="D360" s="9" t="s">
        <v>315</v>
      </c>
      <c r="E360" t="s">
        <v>1123</v>
      </c>
      <c r="F360" s="4" t="s">
        <v>316</v>
      </c>
      <c r="G360" s="4" t="s">
        <v>436</v>
      </c>
      <c r="H360" t="str">
        <f t="shared" si="15"/>
        <v/>
      </c>
    </row>
    <row r="361" spans="1:8">
      <c r="A361" s="10">
        <f t="shared" si="16"/>
        <v>360</v>
      </c>
      <c r="C361" s="17" t="s">
        <v>461</v>
      </c>
      <c r="D361" s="9" t="s">
        <v>32</v>
      </c>
      <c r="F361" s="4" t="s">
        <v>33</v>
      </c>
      <c r="G361" s="4" t="s">
        <v>436</v>
      </c>
      <c r="H361" t="str">
        <f t="shared" si="15"/>
        <v/>
      </c>
    </row>
    <row r="362" spans="1:8">
      <c r="A362" s="10">
        <f t="shared" si="16"/>
        <v>361</v>
      </c>
      <c r="C362" s="17" t="s">
        <v>461</v>
      </c>
      <c r="D362" s="9" t="s">
        <v>28</v>
      </c>
      <c r="F362" s="4" t="s">
        <v>29</v>
      </c>
      <c r="G362" s="4" t="s">
        <v>436</v>
      </c>
      <c r="H362" t="str">
        <f t="shared" si="15"/>
        <v/>
      </c>
    </row>
    <row r="363" spans="1:8">
      <c r="A363" s="10">
        <f t="shared" si="16"/>
        <v>362</v>
      </c>
      <c r="C363" s="17" t="s">
        <v>461</v>
      </c>
      <c r="D363" s="9" t="s">
        <v>462</v>
      </c>
      <c r="F363" s="4" t="s">
        <v>464</v>
      </c>
      <c r="G363" s="4" t="s">
        <v>436</v>
      </c>
      <c r="H363" t="str">
        <f t="shared" si="15"/>
        <v/>
      </c>
    </row>
    <row r="364" spans="1:8">
      <c r="A364" s="10">
        <f t="shared" ref="A364:A395" si="17">ROW()-1</f>
        <v>363</v>
      </c>
      <c r="C364" s="17" t="s">
        <v>461</v>
      </c>
      <c r="D364" s="9" t="s">
        <v>463</v>
      </c>
      <c r="F364" s="4" t="s">
        <v>465</v>
      </c>
      <c r="G364" s="4" t="s">
        <v>436</v>
      </c>
      <c r="H364" t="str">
        <f t="shared" si="15"/>
        <v/>
      </c>
    </row>
    <row r="365" spans="1:8">
      <c r="A365" s="10">
        <f t="shared" si="17"/>
        <v>364</v>
      </c>
      <c r="B365" s="10">
        <v>4</v>
      </c>
      <c r="C365" s="9" t="s">
        <v>804</v>
      </c>
      <c r="D365" s="9" t="s">
        <v>16</v>
      </c>
      <c r="E365" s="9" t="s">
        <v>805</v>
      </c>
      <c r="F365" s="4" t="s">
        <v>17</v>
      </c>
      <c r="G365" s="4" t="s">
        <v>436</v>
      </c>
      <c r="H365" t="str">
        <f t="shared" si="15"/>
        <v/>
      </c>
    </row>
    <row r="366" spans="1:8">
      <c r="A366" s="10">
        <f t="shared" si="17"/>
        <v>365</v>
      </c>
      <c r="B366" s="10">
        <v>2</v>
      </c>
      <c r="C366" s="9" t="s">
        <v>804</v>
      </c>
      <c r="D366" s="9" t="s">
        <v>30</v>
      </c>
      <c r="E366" s="9" t="s">
        <v>805</v>
      </c>
      <c r="F366" s="4" t="s">
        <v>31</v>
      </c>
      <c r="G366" s="4" t="s">
        <v>436</v>
      </c>
      <c r="H366" t="str">
        <f t="shared" si="15"/>
        <v/>
      </c>
    </row>
    <row r="367" spans="1:8">
      <c r="A367" s="10">
        <f t="shared" si="17"/>
        <v>366</v>
      </c>
      <c r="B367" s="10">
        <v>4</v>
      </c>
      <c r="C367" s="9" t="s">
        <v>804</v>
      </c>
      <c r="D367" s="9" t="s">
        <v>34</v>
      </c>
      <c r="E367" s="9" t="s">
        <v>805</v>
      </c>
      <c r="F367" s="4" t="s">
        <v>35</v>
      </c>
      <c r="G367" s="4" t="s">
        <v>436</v>
      </c>
      <c r="H367" t="str">
        <f t="shared" si="15"/>
        <v/>
      </c>
    </row>
    <row r="368" spans="1:8">
      <c r="A368" s="10">
        <f t="shared" si="17"/>
        <v>367</v>
      </c>
      <c r="B368" s="10">
        <v>4</v>
      </c>
      <c r="C368" s="9" t="s">
        <v>804</v>
      </c>
      <c r="D368" s="9" t="s">
        <v>36</v>
      </c>
      <c r="E368" s="9" t="s">
        <v>805</v>
      </c>
      <c r="F368" s="4" t="s">
        <v>37</v>
      </c>
      <c r="G368" s="4" t="s">
        <v>436</v>
      </c>
      <c r="H368" t="str">
        <f t="shared" si="15"/>
        <v/>
      </c>
    </row>
    <row r="369" spans="1:8">
      <c r="A369" s="10">
        <f t="shared" si="17"/>
        <v>368</v>
      </c>
      <c r="B369" s="10">
        <v>5</v>
      </c>
      <c r="C369" s="9" t="s">
        <v>804</v>
      </c>
      <c r="D369" s="9" t="s">
        <v>384</v>
      </c>
      <c r="E369" s="9" t="s">
        <v>864</v>
      </c>
      <c r="F369" s="4" t="s">
        <v>385</v>
      </c>
      <c r="G369" s="4" t="s">
        <v>436</v>
      </c>
      <c r="H369" t="str">
        <f t="shared" si="15"/>
        <v/>
      </c>
    </row>
    <row r="370" spans="1:8">
      <c r="A370" s="10">
        <f t="shared" si="17"/>
        <v>369</v>
      </c>
      <c r="B370" s="10">
        <v>3</v>
      </c>
      <c r="C370" s="9" t="s">
        <v>835</v>
      </c>
      <c r="D370" s="9" t="s">
        <v>421</v>
      </c>
      <c r="E370" s="9" t="s">
        <v>783</v>
      </c>
      <c r="F370" s="4" t="s">
        <v>422</v>
      </c>
      <c r="G370" s="4" t="s">
        <v>436</v>
      </c>
      <c r="H370" t="str">
        <f t="shared" si="15"/>
        <v/>
      </c>
    </row>
    <row r="371" spans="1:8">
      <c r="A371" s="10">
        <f t="shared" si="17"/>
        <v>370</v>
      </c>
      <c r="B371" s="10">
        <v>3</v>
      </c>
      <c r="C371" s="9" t="s">
        <v>835</v>
      </c>
      <c r="D371" s="9" t="s">
        <v>777</v>
      </c>
      <c r="E371" s="9" t="s">
        <v>783</v>
      </c>
      <c r="F371" s="4" t="s">
        <v>778</v>
      </c>
      <c r="G371" s="4" t="s">
        <v>436</v>
      </c>
      <c r="H371" t="str">
        <f t="shared" si="15"/>
        <v/>
      </c>
    </row>
    <row r="372" spans="1:8" ht="45">
      <c r="A372" s="10">
        <f t="shared" si="17"/>
        <v>371</v>
      </c>
      <c r="B372" s="10">
        <v>3</v>
      </c>
      <c r="C372" s="9" t="s">
        <v>835</v>
      </c>
      <c r="D372" s="9" t="s">
        <v>145</v>
      </c>
      <c r="E372" s="9" t="s">
        <v>785</v>
      </c>
      <c r="F372" s="8" t="s">
        <v>1049</v>
      </c>
      <c r="G372" s="4" t="s">
        <v>436</v>
      </c>
      <c r="H372" t="str">
        <f t="shared" si="15"/>
        <v/>
      </c>
    </row>
    <row r="373" spans="1:8">
      <c r="A373" s="10">
        <f t="shared" si="17"/>
        <v>372</v>
      </c>
      <c r="B373" s="10">
        <v>4</v>
      </c>
      <c r="C373" s="9" t="s">
        <v>835</v>
      </c>
      <c r="D373" s="9" t="s">
        <v>271</v>
      </c>
      <c r="E373" s="9" t="s">
        <v>849</v>
      </c>
      <c r="F373" s="4" t="s">
        <v>272</v>
      </c>
      <c r="G373" s="4" t="s">
        <v>436</v>
      </c>
      <c r="H373" t="str">
        <f t="shared" si="15"/>
        <v/>
      </c>
    </row>
    <row r="374" spans="1:8">
      <c r="A374" s="10">
        <f t="shared" si="17"/>
        <v>373</v>
      </c>
      <c r="B374" s="10">
        <v>5</v>
      </c>
      <c r="C374" s="9" t="s">
        <v>835</v>
      </c>
      <c r="D374" s="9" t="s">
        <v>407</v>
      </c>
      <c r="E374" s="9" t="s">
        <v>863</v>
      </c>
      <c r="F374" s="4" t="s">
        <v>408</v>
      </c>
      <c r="G374" s="4" t="s">
        <v>436</v>
      </c>
      <c r="H374" t="str">
        <f t="shared" si="15"/>
        <v/>
      </c>
    </row>
    <row r="375" spans="1:8">
      <c r="A375" s="10">
        <f t="shared" si="17"/>
        <v>374</v>
      </c>
      <c r="B375" s="10">
        <v>5</v>
      </c>
      <c r="C375" s="9" t="s">
        <v>857</v>
      </c>
      <c r="D375" s="9" t="s">
        <v>370</v>
      </c>
      <c r="E375" s="9" t="s">
        <v>783</v>
      </c>
      <c r="F375" s="4" t="s">
        <v>371</v>
      </c>
      <c r="G375" s="4" t="s">
        <v>436</v>
      </c>
      <c r="H375" t="str">
        <f t="shared" ref="H375:H406" si="18">IF(COUNTIFS(D:D,D375)&gt;1,"DUBBEL","")</f>
        <v/>
      </c>
    </row>
    <row r="376" spans="1:8">
      <c r="A376" s="10">
        <f t="shared" si="17"/>
        <v>375</v>
      </c>
      <c r="B376" s="10">
        <v>5</v>
      </c>
      <c r="C376" s="9" t="s">
        <v>857</v>
      </c>
      <c r="D376" s="9" t="s">
        <v>380</v>
      </c>
      <c r="E376" s="9" t="s">
        <v>783</v>
      </c>
      <c r="F376" s="4" t="s">
        <v>381</v>
      </c>
      <c r="G376" s="4" t="s">
        <v>436</v>
      </c>
      <c r="H376" t="str">
        <f t="shared" si="18"/>
        <v/>
      </c>
    </row>
    <row r="377" spans="1:8">
      <c r="A377" s="10">
        <f t="shared" si="17"/>
        <v>376</v>
      </c>
      <c r="B377" s="10">
        <v>4</v>
      </c>
      <c r="C377" s="9" t="s">
        <v>857</v>
      </c>
      <c r="D377" s="9" t="s">
        <v>400</v>
      </c>
      <c r="E377" s="9" t="s">
        <v>783</v>
      </c>
      <c r="F377" s="4" t="s">
        <v>401</v>
      </c>
      <c r="G377" s="4" t="s">
        <v>436</v>
      </c>
      <c r="H377" t="str">
        <f t="shared" si="18"/>
        <v/>
      </c>
    </row>
    <row r="378" spans="1:8">
      <c r="A378" s="10">
        <f t="shared" si="17"/>
        <v>377</v>
      </c>
      <c r="B378" s="10">
        <v>6</v>
      </c>
      <c r="C378" s="9" t="s">
        <v>861</v>
      </c>
      <c r="D378" s="9" t="s">
        <v>392</v>
      </c>
      <c r="E378" s="9" t="s">
        <v>862</v>
      </c>
      <c r="F378" s="4" t="s">
        <v>393</v>
      </c>
      <c r="G378" s="4" t="s">
        <v>436</v>
      </c>
      <c r="H378" t="str">
        <f t="shared" si="18"/>
        <v/>
      </c>
    </row>
    <row r="379" spans="1:8">
      <c r="A379" s="10">
        <f t="shared" si="17"/>
        <v>378</v>
      </c>
      <c r="C379" s="18" t="s">
        <v>116</v>
      </c>
      <c r="D379" s="9" t="s">
        <v>117</v>
      </c>
      <c r="F379" s="4" t="s">
        <v>118</v>
      </c>
      <c r="G379" s="4" t="s">
        <v>436</v>
      </c>
      <c r="H379" t="str">
        <f t="shared" si="18"/>
        <v/>
      </c>
    </row>
    <row r="380" spans="1:8">
      <c r="A380" s="10">
        <f t="shared" si="17"/>
        <v>379</v>
      </c>
      <c r="C380" s="18" t="s">
        <v>116</v>
      </c>
      <c r="D380" s="9" t="s">
        <v>119</v>
      </c>
      <c r="F380" s="4" t="s">
        <v>120</v>
      </c>
      <c r="G380" s="4" t="s">
        <v>436</v>
      </c>
      <c r="H380" t="str">
        <f t="shared" si="18"/>
        <v/>
      </c>
    </row>
    <row r="381" spans="1:8">
      <c r="A381" s="10">
        <f t="shared" si="17"/>
        <v>380</v>
      </c>
      <c r="C381" s="18" t="s">
        <v>116</v>
      </c>
      <c r="D381" s="9" t="s">
        <v>121</v>
      </c>
      <c r="F381" s="4" t="s">
        <v>122</v>
      </c>
      <c r="G381" s="4" t="s">
        <v>436</v>
      </c>
      <c r="H381" t="str">
        <f t="shared" si="18"/>
        <v/>
      </c>
    </row>
    <row r="382" spans="1:8">
      <c r="A382" s="10">
        <f t="shared" si="17"/>
        <v>381</v>
      </c>
      <c r="C382" s="18" t="s">
        <v>116</v>
      </c>
      <c r="D382" s="9" t="s">
        <v>123</v>
      </c>
      <c r="F382" s="4" t="s">
        <v>124</v>
      </c>
      <c r="G382" s="4" t="s">
        <v>436</v>
      </c>
      <c r="H382" t="str">
        <f t="shared" si="18"/>
        <v/>
      </c>
    </row>
    <row r="383" spans="1:8">
      <c r="A383" s="10">
        <f t="shared" si="17"/>
        <v>382</v>
      </c>
      <c r="C383" s="18" t="s">
        <v>116</v>
      </c>
      <c r="D383" s="9" t="s">
        <v>125</v>
      </c>
      <c r="F383" s="4" t="s">
        <v>126</v>
      </c>
      <c r="G383" s="4" t="s">
        <v>436</v>
      </c>
      <c r="H383" t="str">
        <f t="shared" si="18"/>
        <v/>
      </c>
    </row>
    <row r="384" spans="1:8">
      <c r="A384" s="10">
        <f t="shared" si="17"/>
        <v>383</v>
      </c>
      <c r="C384" s="18" t="s">
        <v>116</v>
      </c>
      <c r="D384" s="9" t="s">
        <v>127</v>
      </c>
      <c r="F384" s="4" t="s">
        <v>128</v>
      </c>
      <c r="G384" s="4" t="s">
        <v>436</v>
      </c>
      <c r="H384" t="str">
        <f t="shared" si="18"/>
        <v/>
      </c>
    </row>
    <row r="385" spans="1:8">
      <c r="A385" s="10">
        <f t="shared" si="17"/>
        <v>384</v>
      </c>
      <c r="C385" s="18" t="s">
        <v>116</v>
      </c>
      <c r="D385" s="9" t="s">
        <v>129</v>
      </c>
      <c r="F385" s="4" t="s">
        <v>130</v>
      </c>
      <c r="G385" s="4" t="s">
        <v>436</v>
      </c>
      <c r="H385" t="str">
        <f t="shared" si="18"/>
        <v/>
      </c>
    </row>
    <row r="386" spans="1:8">
      <c r="A386" s="10">
        <f t="shared" si="17"/>
        <v>385</v>
      </c>
      <c r="C386" s="18" t="s">
        <v>116</v>
      </c>
      <c r="D386" s="9" t="s">
        <v>131</v>
      </c>
      <c r="F386" s="4" t="s">
        <v>132</v>
      </c>
      <c r="G386" s="4" t="s">
        <v>436</v>
      </c>
      <c r="H386" t="str">
        <f t="shared" si="18"/>
        <v/>
      </c>
    </row>
    <row r="387" spans="1:8">
      <c r="A387" s="10">
        <f t="shared" si="17"/>
        <v>386</v>
      </c>
      <c r="C387" s="18" t="s">
        <v>116</v>
      </c>
      <c r="D387" s="9" t="s">
        <v>133</v>
      </c>
      <c r="F387" s="4" t="s">
        <v>134</v>
      </c>
      <c r="G387" s="4" t="s">
        <v>436</v>
      </c>
      <c r="H387" t="str">
        <f t="shared" si="18"/>
        <v/>
      </c>
    </row>
    <row r="388" spans="1:8">
      <c r="A388" s="10">
        <f t="shared" si="17"/>
        <v>387</v>
      </c>
      <c r="C388" s="18" t="s">
        <v>116</v>
      </c>
      <c r="D388" s="9" t="s">
        <v>135</v>
      </c>
      <c r="F388" s="4" t="s">
        <v>136</v>
      </c>
      <c r="G388" s="4" t="s">
        <v>436</v>
      </c>
      <c r="H388" t="str">
        <f t="shared" si="18"/>
        <v/>
      </c>
    </row>
    <row r="389" spans="1:8">
      <c r="A389" s="10">
        <f t="shared" si="17"/>
        <v>388</v>
      </c>
      <c r="C389" s="18" t="s">
        <v>116</v>
      </c>
      <c r="D389" s="9" t="s">
        <v>137</v>
      </c>
      <c r="F389" s="4" t="s">
        <v>138</v>
      </c>
      <c r="G389" s="4" t="s">
        <v>436</v>
      </c>
      <c r="H389" t="str">
        <f t="shared" si="18"/>
        <v/>
      </c>
    </row>
    <row r="390" spans="1:8">
      <c r="A390" s="10">
        <f t="shared" si="17"/>
        <v>389</v>
      </c>
      <c r="C390" s="18" t="s">
        <v>116</v>
      </c>
      <c r="D390" s="9" t="s">
        <v>139</v>
      </c>
      <c r="F390" s="4" t="s">
        <v>140</v>
      </c>
      <c r="G390" s="4" t="s">
        <v>436</v>
      </c>
      <c r="H390" t="str">
        <f t="shared" si="18"/>
        <v/>
      </c>
    </row>
    <row r="391" spans="1:8">
      <c r="A391" s="10">
        <f t="shared" si="17"/>
        <v>390</v>
      </c>
      <c r="C391" s="18" t="s">
        <v>116</v>
      </c>
      <c r="D391" s="9" t="s">
        <v>141</v>
      </c>
      <c r="F391" s="4" t="s">
        <v>142</v>
      </c>
      <c r="G391" s="4" t="s">
        <v>436</v>
      </c>
      <c r="H391" t="str">
        <f t="shared" si="18"/>
        <v/>
      </c>
    </row>
    <row r="392" spans="1:8">
      <c r="A392" s="10">
        <f t="shared" si="17"/>
        <v>391</v>
      </c>
      <c r="C392" s="18" t="s">
        <v>116</v>
      </c>
      <c r="D392" s="9" t="s">
        <v>143</v>
      </c>
      <c r="F392" s="4" t="s">
        <v>144</v>
      </c>
      <c r="G392" s="4" t="s">
        <v>436</v>
      </c>
      <c r="H392" t="str">
        <f t="shared" si="18"/>
        <v/>
      </c>
    </row>
    <row r="393" spans="1:8">
      <c r="A393" s="10">
        <f t="shared" si="17"/>
        <v>392</v>
      </c>
      <c r="C393" s="18" t="s">
        <v>116</v>
      </c>
      <c r="D393" s="9" t="s">
        <v>146</v>
      </c>
      <c r="F393" s="4" t="s">
        <v>147</v>
      </c>
      <c r="G393" s="4" t="s">
        <v>436</v>
      </c>
      <c r="H393" t="str">
        <f t="shared" si="18"/>
        <v/>
      </c>
    </row>
    <row r="394" spans="1:8">
      <c r="A394" s="10">
        <f t="shared" si="17"/>
        <v>393</v>
      </c>
      <c r="C394" s="18" t="s">
        <v>116</v>
      </c>
      <c r="D394" s="9" t="s">
        <v>148</v>
      </c>
      <c r="F394" s="4" t="s">
        <v>149</v>
      </c>
      <c r="G394" s="4" t="s">
        <v>436</v>
      </c>
      <c r="H394" t="str">
        <f t="shared" si="18"/>
        <v/>
      </c>
    </row>
    <row r="395" spans="1:8">
      <c r="A395" s="10">
        <f t="shared" si="17"/>
        <v>394</v>
      </c>
      <c r="C395" s="18" t="s">
        <v>116</v>
      </c>
      <c r="D395" s="9" t="s">
        <v>150</v>
      </c>
      <c r="F395" s="4" t="s">
        <v>151</v>
      </c>
      <c r="G395" s="4" t="s">
        <v>436</v>
      </c>
      <c r="H395" t="str">
        <f t="shared" si="18"/>
        <v/>
      </c>
    </row>
    <row r="396" spans="1:8">
      <c r="A396" s="10">
        <f t="shared" ref="A396:A427" si="19">ROW()-1</f>
        <v>395</v>
      </c>
      <c r="C396" s="18" t="s">
        <v>116</v>
      </c>
      <c r="D396" s="9" t="s">
        <v>152</v>
      </c>
      <c r="F396" s="4" t="s">
        <v>153</v>
      </c>
      <c r="G396" s="4" t="s">
        <v>436</v>
      </c>
      <c r="H396" t="str">
        <f t="shared" si="18"/>
        <v/>
      </c>
    </row>
    <row r="397" spans="1:8">
      <c r="A397" s="10">
        <f t="shared" si="19"/>
        <v>396</v>
      </c>
      <c r="C397" s="18" t="s">
        <v>116</v>
      </c>
      <c r="D397" s="9" t="s">
        <v>154</v>
      </c>
      <c r="F397" s="4" t="s">
        <v>155</v>
      </c>
      <c r="G397" s="4" t="s">
        <v>436</v>
      </c>
      <c r="H397" t="str">
        <f t="shared" si="18"/>
        <v/>
      </c>
    </row>
    <row r="398" spans="1:8">
      <c r="A398" s="10">
        <f t="shared" si="19"/>
        <v>397</v>
      </c>
      <c r="C398" s="18" t="s">
        <v>116</v>
      </c>
      <c r="D398" s="9" t="s">
        <v>156</v>
      </c>
      <c r="F398" s="4" t="s">
        <v>157</v>
      </c>
      <c r="G398" s="4" t="s">
        <v>436</v>
      </c>
      <c r="H398" t="str">
        <f t="shared" si="18"/>
        <v/>
      </c>
    </row>
    <row r="399" spans="1:8">
      <c r="A399" s="10">
        <f t="shared" si="19"/>
        <v>398</v>
      </c>
      <c r="C399" s="18" t="s">
        <v>116</v>
      </c>
      <c r="D399" s="9" t="s">
        <v>159</v>
      </c>
      <c r="F399" s="4" t="s">
        <v>160</v>
      </c>
      <c r="G399" s="4" t="s">
        <v>436</v>
      </c>
      <c r="H399" t="str">
        <f t="shared" si="18"/>
        <v/>
      </c>
    </row>
    <row r="400" spans="1:8">
      <c r="A400" s="10">
        <f t="shared" si="19"/>
        <v>399</v>
      </c>
      <c r="C400" s="18" t="s">
        <v>116</v>
      </c>
      <c r="D400" s="9" t="s">
        <v>161</v>
      </c>
      <c r="F400" s="4" t="s">
        <v>162</v>
      </c>
      <c r="G400" s="4" t="s">
        <v>436</v>
      </c>
      <c r="H400" t="str">
        <f t="shared" si="18"/>
        <v/>
      </c>
    </row>
    <row r="401" spans="1:8">
      <c r="A401" s="10">
        <f t="shared" si="19"/>
        <v>400</v>
      </c>
      <c r="C401" s="18" t="s">
        <v>116</v>
      </c>
      <c r="D401" s="9" t="s">
        <v>163</v>
      </c>
      <c r="F401" s="4" t="s">
        <v>164</v>
      </c>
      <c r="G401" s="4" t="s">
        <v>436</v>
      </c>
      <c r="H401" t="str">
        <f t="shared" si="18"/>
        <v/>
      </c>
    </row>
    <row r="402" spans="1:8">
      <c r="A402" s="10">
        <f t="shared" si="19"/>
        <v>401</v>
      </c>
      <c r="C402" s="18" t="s">
        <v>116</v>
      </c>
      <c r="D402" s="9" t="s">
        <v>165</v>
      </c>
      <c r="F402" s="4" t="s">
        <v>166</v>
      </c>
      <c r="G402" s="4" t="s">
        <v>436</v>
      </c>
      <c r="H402" t="str">
        <f t="shared" si="18"/>
        <v/>
      </c>
    </row>
    <row r="403" spans="1:8">
      <c r="A403" s="10">
        <f t="shared" si="19"/>
        <v>402</v>
      </c>
      <c r="C403" s="18" t="s">
        <v>116</v>
      </c>
      <c r="D403" s="9" t="s">
        <v>167</v>
      </c>
      <c r="F403" s="4" t="s">
        <v>168</v>
      </c>
      <c r="G403" s="4" t="s">
        <v>436</v>
      </c>
      <c r="H403" t="str">
        <f t="shared" si="18"/>
        <v/>
      </c>
    </row>
    <row r="404" spans="1:8">
      <c r="A404" s="10">
        <f t="shared" si="19"/>
        <v>403</v>
      </c>
      <c r="C404" s="18" t="s">
        <v>116</v>
      </c>
      <c r="D404" s="9" t="s">
        <v>169</v>
      </c>
      <c r="F404" s="4" t="s">
        <v>170</v>
      </c>
      <c r="G404" s="4" t="s">
        <v>436</v>
      </c>
      <c r="H404" t="str">
        <f t="shared" si="18"/>
        <v/>
      </c>
    </row>
    <row r="405" spans="1:8">
      <c r="A405" s="10">
        <f t="shared" si="19"/>
        <v>404</v>
      </c>
      <c r="C405" s="18" t="s">
        <v>116</v>
      </c>
      <c r="D405" s="9" t="s">
        <v>171</v>
      </c>
      <c r="F405" s="4" t="s">
        <v>172</v>
      </c>
      <c r="G405" s="4" t="s">
        <v>436</v>
      </c>
      <c r="H405" t="str">
        <f t="shared" si="18"/>
        <v/>
      </c>
    </row>
    <row r="406" spans="1:8">
      <c r="A406" s="10">
        <f t="shared" si="19"/>
        <v>405</v>
      </c>
      <c r="C406" s="18" t="s">
        <v>116</v>
      </c>
      <c r="D406" s="9" t="s">
        <v>173</v>
      </c>
      <c r="F406" s="4" t="s">
        <v>174</v>
      </c>
      <c r="G406" s="4" t="s">
        <v>436</v>
      </c>
      <c r="H406" t="str">
        <f t="shared" si="18"/>
        <v/>
      </c>
    </row>
    <row r="407" spans="1:8">
      <c r="A407" s="10">
        <f t="shared" si="19"/>
        <v>406</v>
      </c>
      <c r="C407" s="18" t="s">
        <v>116</v>
      </c>
      <c r="D407" s="9" t="s">
        <v>175</v>
      </c>
      <c r="F407" s="4" t="s">
        <v>176</v>
      </c>
      <c r="G407" s="4" t="s">
        <v>436</v>
      </c>
      <c r="H407" t="str">
        <f t="shared" ref="H407:H438" si="20">IF(COUNTIFS(D:D,D407)&gt;1,"DUBBEL","")</f>
        <v/>
      </c>
    </row>
    <row r="408" spans="1:8">
      <c r="A408" s="10">
        <f t="shared" si="19"/>
        <v>407</v>
      </c>
      <c r="C408" s="18" t="s">
        <v>116</v>
      </c>
      <c r="D408" s="9" t="s">
        <v>177</v>
      </c>
      <c r="F408" s="4" t="s">
        <v>178</v>
      </c>
      <c r="G408" s="4" t="s">
        <v>436</v>
      </c>
      <c r="H408" t="str">
        <f t="shared" si="20"/>
        <v/>
      </c>
    </row>
    <row r="409" spans="1:8">
      <c r="A409" s="10">
        <f t="shared" si="19"/>
        <v>408</v>
      </c>
      <c r="C409" s="18" t="s">
        <v>116</v>
      </c>
      <c r="D409" s="9" t="s">
        <v>179</v>
      </c>
      <c r="F409" s="4" t="s">
        <v>180</v>
      </c>
      <c r="G409" s="4" t="s">
        <v>436</v>
      </c>
      <c r="H409" t="str">
        <f t="shared" si="20"/>
        <v/>
      </c>
    </row>
    <row r="410" spans="1:8">
      <c r="A410" s="10">
        <f t="shared" si="19"/>
        <v>409</v>
      </c>
      <c r="C410" s="18" t="s">
        <v>116</v>
      </c>
      <c r="D410" s="9" t="s">
        <v>181</v>
      </c>
      <c r="F410" s="4" t="s">
        <v>182</v>
      </c>
      <c r="G410" s="4" t="s">
        <v>436</v>
      </c>
      <c r="H410" t="str">
        <f t="shared" si="20"/>
        <v/>
      </c>
    </row>
    <row r="411" spans="1:8">
      <c r="A411" s="10">
        <f t="shared" si="19"/>
        <v>410</v>
      </c>
      <c r="C411" s="18" t="s">
        <v>116</v>
      </c>
      <c r="D411" s="9" t="s">
        <v>183</v>
      </c>
      <c r="F411" s="4" t="s">
        <v>184</v>
      </c>
      <c r="G411" s="4" t="s">
        <v>436</v>
      </c>
      <c r="H411" t="str">
        <f t="shared" si="20"/>
        <v/>
      </c>
    </row>
    <row r="412" spans="1:8">
      <c r="A412" s="10">
        <f t="shared" si="19"/>
        <v>411</v>
      </c>
      <c r="C412" s="18" t="s">
        <v>116</v>
      </c>
      <c r="D412" s="9" t="s">
        <v>185</v>
      </c>
      <c r="F412" s="4" t="s">
        <v>186</v>
      </c>
      <c r="G412" s="4" t="s">
        <v>436</v>
      </c>
      <c r="H412" t="str">
        <f t="shared" si="20"/>
        <v/>
      </c>
    </row>
    <row r="413" spans="1:8">
      <c r="A413" s="10">
        <f t="shared" si="19"/>
        <v>412</v>
      </c>
      <c r="C413" s="18" t="s">
        <v>116</v>
      </c>
      <c r="D413" s="9" t="s">
        <v>187</v>
      </c>
      <c r="F413" s="4" t="s">
        <v>188</v>
      </c>
      <c r="G413" s="4" t="s">
        <v>436</v>
      </c>
      <c r="H413" t="str">
        <f t="shared" si="20"/>
        <v/>
      </c>
    </row>
    <row r="414" spans="1:8">
      <c r="A414" s="10">
        <f t="shared" si="19"/>
        <v>413</v>
      </c>
      <c r="C414" s="18" t="s">
        <v>116</v>
      </c>
      <c r="D414" s="9" t="s">
        <v>189</v>
      </c>
      <c r="F414" s="4" t="s">
        <v>190</v>
      </c>
      <c r="G414" s="4" t="s">
        <v>436</v>
      </c>
      <c r="H414" t="str">
        <f t="shared" si="20"/>
        <v/>
      </c>
    </row>
    <row r="415" spans="1:8">
      <c r="A415" s="10">
        <f t="shared" si="19"/>
        <v>414</v>
      </c>
      <c r="C415" s="18" t="s">
        <v>116</v>
      </c>
      <c r="D415" s="9" t="s">
        <v>191</v>
      </c>
      <c r="F415" s="4" t="s">
        <v>192</v>
      </c>
      <c r="G415" s="4" t="s">
        <v>436</v>
      </c>
      <c r="H415" t="str">
        <f t="shared" si="20"/>
        <v/>
      </c>
    </row>
    <row r="416" spans="1:8">
      <c r="A416" s="10">
        <f t="shared" si="19"/>
        <v>415</v>
      </c>
      <c r="C416" s="18" t="s">
        <v>116</v>
      </c>
      <c r="D416" s="9" t="s">
        <v>193</v>
      </c>
      <c r="F416" s="4" t="s">
        <v>194</v>
      </c>
      <c r="G416" s="4" t="s">
        <v>436</v>
      </c>
      <c r="H416" t="str">
        <f t="shared" si="20"/>
        <v/>
      </c>
    </row>
    <row r="417" spans="1:8">
      <c r="A417" s="10">
        <f t="shared" si="19"/>
        <v>416</v>
      </c>
      <c r="C417" s="18" t="s">
        <v>116</v>
      </c>
      <c r="D417" s="9" t="s">
        <v>195</v>
      </c>
      <c r="F417" s="4" t="s">
        <v>196</v>
      </c>
      <c r="G417" s="4" t="s">
        <v>436</v>
      </c>
      <c r="H417" t="str">
        <f t="shared" si="20"/>
        <v/>
      </c>
    </row>
    <row r="418" spans="1:8">
      <c r="A418" s="10">
        <f t="shared" si="19"/>
        <v>417</v>
      </c>
      <c r="C418" s="18" t="s">
        <v>116</v>
      </c>
      <c r="D418" s="9" t="s">
        <v>197</v>
      </c>
      <c r="F418" s="4" t="s">
        <v>198</v>
      </c>
      <c r="G418" s="4" t="s">
        <v>436</v>
      </c>
      <c r="H418" t="str">
        <f t="shared" si="20"/>
        <v/>
      </c>
    </row>
    <row r="419" spans="1:8">
      <c r="A419" s="10">
        <f t="shared" si="19"/>
        <v>418</v>
      </c>
      <c r="C419" s="18" t="s">
        <v>116</v>
      </c>
      <c r="D419" s="9" t="s">
        <v>199</v>
      </c>
      <c r="F419" s="4" t="s">
        <v>200</v>
      </c>
      <c r="G419" s="4" t="s">
        <v>436</v>
      </c>
      <c r="H419" t="str">
        <f t="shared" si="20"/>
        <v/>
      </c>
    </row>
    <row r="420" spans="1:8">
      <c r="A420" s="10">
        <f t="shared" si="19"/>
        <v>419</v>
      </c>
      <c r="C420" s="18" t="s">
        <v>116</v>
      </c>
      <c r="D420" s="9" t="s">
        <v>442</v>
      </c>
      <c r="F420" s="4" t="s">
        <v>443</v>
      </c>
      <c r="G420" s="4" t="s">
        <v>436</v>
      </c>
      <c r="H420" t="str">
        <f t="shared" si="20"/>
        <v/>
      </c>
    </row>
    <row r="421" spans="1:8">
      <c r="A421" s="10">
        <f t="shared" si="19"/>
        <v>420</v>
      </c>
      <c r="C421" s="18" t="s">
        <v>116</v>
      </c>
      <c r="D421" s="9" t="s">
        <v>742</v>
      </c>
      <c r="F421" s="4" t="s">
        <v>444</v>
      </c>
      <c r="G421" s="4" t="s">
        <v>436</v>
      </c>
      <c r="H421" t="str">
        <f t="shared" si="20"/>
        <v/>
      </c>
    </row>
    <row r="422" spans="1:8">
      <c r="A422" s="10">
        <f t="shared" si="19"/>
        <v>421</v>
      </c>
      <c r="C422" s="18" t="s">
        <v>116</v>
      </c>
      <c r="D422" s="9" t="s">
        <v>688</v>
      </c>
      <c r="F422" s="4" t="s">
        <v>689</v>
      </c>
      <c r="G422" s="4" t="s">
        <v>436</v>
      </c>
      <c r="H422" t="str">
        <f t="shared" si="20"/>
        <v/>
      </c>
    </row>
    <row r="423" spans="1:8">
      <c r="A423" s="10">
        <f t="shared" si="19"/>
        <v>422</v>
      </c>
      <c r="C423" s="18" t="s">
        <v>116</v>
      </c>
      <c r="D423" s="9" t="s">
        <v>690</v>
      </c>
      <c r="F423" s="4" t="s">
        <v>691</v>
      </c>
      <c r="G423" s="4" t="s">
        <v>436</v>
      </c>
      <c r="H423" t="str">
        <f t="shared" si="20"/>
        <v/>
      </c>
    </row>
    <row r="424" spans="1:8">
      <c r="A424" s="10">
        <f t="shared" si="19"/>
        <v>423</v>
      </c>
      <c r="C424" s="18" t="s">
        <v>116</v>
      </c>
      <c r="D424" s="9" t="s">
        <v>692</v>
      </c>
      <c r="F424" s="4" t="s">
        <v>693</v>
      </c>
      <c r="G424" s="4" t="s">
        <v>436</v>
      </c>
      <c r="H424" t="str">
        <f t="shared" si="20"/>
        <v/>
      </c>
    </row>
    <row r="425" spans="1:8">
      <c r="A425" s="10">
        <f t="shared" si="19"/>
        <v>424</v>
      </c>
      <c r="C425" s="18" t="s">
        <v>116</v>
      </c>
      <c r="D425" s="9" t="s">
        <v>694</v>
      </c>
      <c r="F425" s="4" t="s">
        <v>695</v>
      </c>
      <c r="G425" s="4" t="s">
        <v>436</v>
      </c>
      <c r="H425" t="str">
        <f t="shared" si="20"/>
        <v/>
      </c>
    </row>
    <row r="426" spans="1:8">
      <c r="A426" s="10">
        <f t="shared" si="19"/>
        <v>425</v>
      </c>
      <c r="C426" s="18" t="s">
        <v>116</v>
      </c>
      <c r="D426" s="9" t="s">
        <v>696</v>
      </c>
      <c r="F426" s="4" t="s">
        <v>697</v>
      </c>
      <c r="G426" s="4" t="s">
        <v>436</v>
      </c>
      <c r="H426" t="str">
        <f t="shared" si="20"/>
        <v/>
      </c>
    </row>
    <row r="427" spans="1:8">
      <c r="A427" s="10">
        <f t="shared" si="19"/>
        <v>426</v>
      </c>
      <c r="B427" s="10">
        <v>4</v>
      </c>
      <c r="C427" s="9" t="s">
        <v>340</v>
      </c>
      <c r="D427" s="9" t="s">
        <v>285</v>
      </c>
      <c r="E427" s="9" t="s">
        <v>845</v>
      </c>
      <c r="F427" s="4" t="s">
        <v>286</v>
      </c>
      <c r="G427" s="4" t="s">
        <v>436</v>
      </c>
      <c r="H427" t="str">
        <f t="shared" si="20"/>
        <v/>
      </c>
    </row>
    <row r="428" spans="1:8">
      <c r="A428" s="10">
        <f t="shared" ref="A428:A446" si="21">ROW()-1</f>
        <v>427</v>
      </c>
      <c r="B428" s="10">
        <v>5</v>
      </c>
      <c r="C428" s="9" t="s">
        <v>340</v>
      </c>
      <c r="D428" s="9" t="s">
        <v>372</v>
      </c>
      <c r="E428" s="9" t="s">
        <v>859</v>
      </c>
      <c r="F428" s="4" t="s">
        <v>373</v>
      </c>
      <c r="G428" s="4" t="s">
        <v>436</v>
      </c>
      <c r="H428" t="str">
        <f t="shared" si="20"/>
        <v/>
      </c>
    </row>
    <row r="429" spans="1:8">
      <c r="A429" s="10">
        <f t="shared" si="21"/>
        <v>428</v>
      </c>
      <c r="B429" s="10">
        <v>4</v>
      </c>
      <c r="C429" s="9" t="s">
        <v>340</v>
      </c>
      <c r="D429" s="9" t="s">
        <v>376</v>
      </c>
      <c r="E429" s="9" t="s">
        <v>859</v>
      </c>
      <c r="F429" s="4" t="s">
        <v>377</v>
      </c>
      <c r="G429" s="4" t="s">
        <v>436</v>
      </c>
      <c r="H429" t="str">
        <f t="shared" si="20"/>
        <v/>
      </c>
    </row>
    <row r="430" spans="1:8">
      <c r="A430" s="10">
        <f t="shared" si="21"/>
        <v>429</v>
      </c>
      <c r="C430" s="19" t="s">
        <v>340</v>
      </c>
      <c r="D430" s="9" t="s">
        <v>341</v>
      </c>
      <c r="F430" s="4" t="s">
        <v>342</v>
      </c>
      <c r="G430" s="4" t="s">
        <v>436</v>
      </c>
      <c r="H430" t="str">
        <f t="shared" si="20"/>
        <v/>
      </c>
    </row>
    <row r="431" spans="1:8">
      <c r="A431" s="10">
        <f t="shared" si="21"/>
        <v>430</v>
      </c>
      <c r="C431" s="19" t="s">
        <v>340</v>
      </c>
      <c r="D431" s="9" t="s">
        <v>343</v>
      </c>
      <c r="F431" s="4" t="s">
        <v>344</v>
      </c>
      <c r="G431" s="4" t="s">
        <v>436</v>
      </c>
      <c r="H431" t="str">
        <f t="shared" si="20"/>
        <v/>
      </c>
    </row>
    <row r="432" spans="1:8">
      <c r="A432" s="10">
        <f t="shared" si="21"/>
        <v>431</v>
      </c>
      <c r="C432" s="19" t="s">
        <v>340</v>
      </c>
      <c r="D432" s="9" t="s">
        <v>345</v>
      </c>
      <c r="F432" s="4" t="s">
        <v>346</v>
      </c>
      <c r="G432" s="4" t="s">
        <v>436</v>
      </c>
      <c r="H432" t="str">
        <f t="shared" si="20"/>
        <v/>
      </c>
    </row>
    <row r="433" spans="1:8">
      <c r="A433" s="10">
        <f t="shared" si="21"/>
        <v>432</v>
      </c>
      <c r="C433" s="19" t="s">
        <v>340</v>
      </c>
      <c r="D433" s="9" t="s">
        <v>347</v>
      </c>
      <c r="F433" s="4" t="s">
        <v>348</v>
      </c>
      <c r="G433" s="4" t="s">
        <v>436</v>
      </c>
      <c r="H433" t="str">
        <f t="shared" si="20"/>
        <v/>
      </c>
    </row>
    <row r="434" spans="1:8">
      <c r="A434" s="10">
        <f t="shared" si="21"/>
        <v>433</v>
      </c>
      <c r="C434" s="19" t="s">
        <v>340</v>
      </c>
      <c r="D434" s="9" t="s">
        <v>349</v>
      </c>
      <c r="F434" s="4" t="s">
        <v>350</v>
      </c>
      <c r="G434" s="4" t="s">
        <v>436</v>
      </c>
      <c r="H434" t="str">
        <f t="shared" si="20"/>
        <v/>
      </c>
    </row>
    <row r="435" spans="1:8">
      <c r="A435" s="10">
        <f t="shared" si="21"/>
        <v>434</v>
      </c>
      <c r="C435" s="19" t="s">
        <v>340</v>
      </c>
      <c r="D435" s="9" t="s">
        <v>351</v>
      </c>
      <c r="F435" s="4" t="s">
        <v>352</v>
      </c>
      <c r="G435" s="4" t="s">
        <v>436</v>
      </c>
      <c r="H435" t="str">
        <f t="shared" si="20"/>
        <v/>
      </c>
    </row>
    <row r="436" spans="1:8">
      <c r="A436" s="10">
        <f t="shared" si="21"/>
        <v>435</v>
      </c>
      <c r="C436" s="19" t="s">
        <v>340</v>
      </c>
      <c r="D436" s="9" t="s">
        <v>353</v>
      </c>
      <c r="F436" s="4" t="s">
        <v>354</v>
      </c>
      <c r="G436" s="4" t="s">
        <v>436</v>
      </c>
      <c r="H436" t="str">
        <f t="shared" si="20"/>
        <v/>
      </c>
    </row>
    <row r="437" spans="1:8">
      <c r="A437" s="10">
        <f t="shared" si="21"/>
        <v>436</v>
      </c>
      <c r="C437" s="19" t="s">
        <v>340</v>
      </c>
      <c r="D437" s="9" t="s">
        <v>355</v>
      </c>
      <c r="F437" s="4" t="s">
        <v>356</v>
      </c>
      <c r="G437" s="4" t="s">
        <v>436</v>
      </c>
      <c r="H437" t="str">
        <f t="shared" si="20"/>
        <v/>
      </c>
    </row>
    <row r="438" spans="1:8">
      <c r="A438" s="10">
        <f t="shared" si="21"/>
        <v>437</v>
      </c>
      <c r="C438" s="19" t="s">
        <v>340</v>
      </c>
      <c r="D438" s="9" t="s">
        <v>357</v>
      </c>
      <c r="F438" s="4" t="s">
        <v>358</v>
      </c>
      <c r="G438" s="4" t="s">
        <v>436</v>
      </c>
      <c r="H438" t="str">
        <f t="shared" si="20"/>
        <v/>
      </c>
    </row>
    <row r="439" spans="1:8">
      <c r="A439" s="10">
        <f t="shared" si="21"/>
        <v>438</v>
      </c>
      <c r="C439" s="19" t="s">
        <v>340</v>
      </c>
      <c r="D439" s="9" t="s">
        <v>359</v>
      </c>
      <c r="F439" s="4" t="s">
        <v>360</v>
      </c>
      <c r="G439" s="4" t="s">
        <v>436</v>
      </c>
      <c r="H439" t="str">
        <f t="shared" ref="H439:H446" si="22">IF(COUNTIFS(D:D,D439)&gt;1,"DUBBEL","")</f>
        <v/>
      </c>
    </row>
    <row r="440" spans="1:8">
      <c r="A440" s="10">
        <f t="shared" si="21"/>
        <v>439</v>
      </c>
      <c r="C440" s="19" t="s">
        <v>340</v>
      </c>
      <c r="D440" s="9" t="s">
        <v>361</v>
      </c>
      <c r="F440" s="4" t="s">
        <v>362</v>
      </c>
      <c r="G440" s="4" t="s">
        <v>436</v>
      </c>
      <c r="H440" t="str">
        <f t="shared" si="22"/>
        <v/>
      </c>
    </row>
    <row r="441" spans="1:8">
      <c r="A441" s="10">
        <f t="shared" si="21"/>
        <v>440</v>
      </c>
      <c r="C441" s="19" t="s">
        <v>340</v>
      </c>
      <c r="D441" s="9" t="s">
        <v>363</v>
      </c>
      <c r="F441" s="4" t="s">
        <v>364</v>
      </c>
      <c r="G441" s="4" t="s">
        <v>436</v>
      </c>
      <c r="H441" t="str">
        <f t="shared" si="22"/>
        <v/>
      </c>
    </row>
    <row r="442" spans="1:8">
      <c r="A442" s="10">
        <f t="shared" si="21"/>
        <v>441</v>
      </c>
      <c r="C442" s="19" t="s">
        <v>340</v>
      </c>
      <c r="D442" s="9" t="s">
        <v>365</v>
      </c>
      <c r="F442" s="4" t="s">
        <v>366</v>
      </c>
      <c r="G442" s="4" t="s">
        <v>436</v>
      </c>
      <c r="H442" t="str">
        <f t="shared" si="22"/>
        <v/>
      </c>
    </row>
    <row r="443" spans="1:8" ht="45">
      <c r="A443" s="10">
        <f t="shared" si="21"/>
        <v>442</v>
      </c>
      <c r="C443" s="20" t="s">
        <v>582</v>
      </c>
      <c r="D443" s="9" t="s">
        <v>583</v>
      </c>
      <c r="F443" s="8" t="s">
        <v>927</v>
      </c>
      <c r="G443" s="4" t="s">
        <v>436</v>
      </c>
      <c r="H443" t="str">
        <f t="shared" si="22"/>
        <v/>
      </c>
    </row>
    <row r="444" spans="1:8">
      <c r="A444" s="10">
        <f t="shared" si="21"/>
        <v>443</v>
      </c>
      <c r="C444" s="20" t="s">
        <v>582</v>
      </c>
      <c r="D444" s="9" t="s">
        <v>608</v>
      </c>
      <c r="F444" s="4" t="s">
        <v>610</v>
      </c>
      <c r="G444" s="4" t="s">
        <v>436</v>
      </c>
      <c r="H444" t="str">
        <f t="shared" si="22"/>
        <v/>
      </c>
    </row>
    <row r="445" spans="1:8">
      <c r="A445" s="10">
        <f t="shared" si="21"/>
        <v>444</v>
      </c>
      <c r="C445" s="20" t="s">
        <v>582</v>
      </c>
      <c r="D445" s="9" t="s">
        <v>609</v>
      </c>
      <c r="F445" s="4" t="s">
        <v>611</v>
      </c>
      <c r="G445" s="4" t="s">
        <v>436</v>
      </c>
      <c r="H445" t="str">
        <f t="shared" si="22"/>
        <v/>
      </c>
    </row>
    <row r="446" spans="1:8">
      <c r="A446" s="10">
        <f t="shared" si="21"/>
        <v>445</v>
      </c>
      <c r="B446" s="10">
        <v>6</v>
      </c>
      <c r="C446" s="9" t="s">
        <v>821</v>
      </c>
      <c r="D446" s="9" t="s">
        <v>433</v>
      </c>
      <c r="E446" s="9" t="s">
        <v>811</v>
      </c>
      <c r="F446" s="4" t="s">
        <v>434</v>
      </c>
      <c r="G446" s="4" t="s">
        <v>436</v>
      </c>
      <c r="H446" t="str">
        <f t="shared" si="22"/>
        <v/>
      </c>
    </row>
  </sheetData>
  <sortState xmlns:xlrd2="http://schemas.microsoft.com/office/spreadsheetml/2017/richdata2" ref="A2:H446">
    <sortCondition ref="C436:C446"/>
  </sortState>
  <phoneticPr fontId="3" type="noConversion"/>
  <conditionalFormatting sqref="G1:G1048576">
    <cfRule type="cellIs" dxfId="1" priority="3" operator="equal">
      <formula>"skeleton"</formula>
    </cfRule>
    <cfRule type="cellIs" dxfId="0" priority="4" operator="equal">
      <formula>"actief"</formula>
    </cfRule>
  </conditionalFormatting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213D-92F6-4152-A54E-67A7B59C13F0}">
  <dimension ref="A1:H9"/>
  <sheetViews>
    <sheetView workbookViewId="0">
      <selection activeCell="F9" sqref="F9"/>
    </sheetView>
  </sheetViews>
  <sheetFormatPr defaultRowHeight="15"/>
  <cols>
    <col min="1" max="1" width="3" style="6" bestFit="1" customWidth="1"/>
    <col min="2" max="2" width="44.5703125" bestFit="1" customWidth="1"/>
    <col min="3" max="3" width="12.28515625" bestFit="1" customWidth="1"/>
    <col min="4" max="4" width="4.5703125" style="6" bestFit="1" customWidth="1"/>
    <col min="5" max="5" width="13.7109375" bestFit="1" customWidth="1"/>
    <col min="6" max="6" width="12.28515625" bestFit="1" customWidth="1"/>
    <col min="7" max="7" width="13.85546875" bestFit="1" customWidth="1"/>
    <col min="8" max="8" width="48.85546875" bestFit="1" customWidth="1"/>
  </cols>
  <sheetData>
    <row r="1" spans="1:8">
      <c r="A1" s="5" t="s">
        <v>531</v>
      </c>
      <c r="B1" s="5" t="s">
        <v>496</v>
      </c>
      <c r="C1" s="5" t="s">
        <v>497</v>
      </c>
      <c r="D1" s="5" t="s">
        <v>498</v>
      </c>
      <c r="E1" s="5" t="s">
        <v>499</v>
      </c>
      <c r="F1" s="5" t="s">
        <v>435</v>
      </c>
      <c r="G1" s="5" t="s">
        <v>509</v>
      </c>
      <c r="H1" s="5" t="s">
        <v>500</v>
      </c>
    </row>
    <row r="2" spans="1:8">
      <c r="A2" s="5">
        <f>ROW()-1</f>
        <v>1</v>
      </c>
      <c r="B2" t="s">
        <v>501</v>
      </c>
      <c r="C2" t="s">
        <v>502</v>
      </c>
      <c r="D2" s="6" t="s">
        <v>503</v>
      </c>
      <c r="E2" t="s">
        <v>505</v>
      </c>
      <c r="G2" t="s">
        <v>510</v>
      </c>
      <c r="H2" t="s">
        <v>504</v>
      </c>
    </row>
    <row r="3" spans="1:8">
      <c r="A3" s="5">
        <f t="shared" ref="A3:A9" si="0">ROW()-1</f>
        <v>2</v>
      </c>
      <c r="B3" t="s">
        <v>506</v>
      </c>
      <c r="C3" t="s">
        <v>502</v>
      </c>
      <c r="D3" s="6" t="s">
        <v>507</v>
      </c>
      <c r="E3" t="s">
        <v>508</v>
      </c>
      <c r="G3" t="s">
        <v>511</v>
      </c>
      <c r="H3" t="s">
        <v>512</v>
      </c>
    </row>
    <row r="4" spans="1:8">
      <c r="A4" s="5">
        <f t="shared" si="0"/>
        <v>3</v>
      </c>
      <c r="B4" t="s">
        <v>446</v>
      </c>
      <c r="C4" t="s">
        <v>513</v>
      </c>
      <c r="D4" s="7" t="s">
        <v>514</v>
      </c>
      <c r="E4" t="s">
        <v>515</v>
      </c>
      <c r="G4" t="s">
        <v>516</v>
      </c>
      <c r="H4" t="s">
        <v>517</v>
      </c>
    </row>
    <row r="5" spans="1:8">
      <c r="A5" s="5">
        <f t="shared" si="0"/>
        <v>4</v>
      </c>
      <c r="B5" t="s">
        <v>447</v>
      </c>
      <c r="C5" t="s">
        <v>518</v>
      </c>
      <c r="D5" s="7" t="s">
        <v>514</v>
      </c>
      <c r="E5" t="s">
        <v>519</v>
      </c>
      <c r="G5" t="s">
        <v>516</v>
      </c>
      <c r="H5" t="s">
        <v>520</v>
      </c>
    </row>
    <row r="6" spans="1:8">
      <c r="A6" s="5">
        <f t="shared" si="0"/>
        <v>5</v>
      </c>
      <c r="B6" t="s">
        <v>448</v>
      </c>
      <c r="C6" t="s">
        <v>502</v>
      </c>
      <c r="D6" s="6" t="s">
        <v>503</v>
      </c>
      <c r="E6" t="s">
        <v>505</v>
      </c>
      <c r="G6" t="s">
        <v>521</v>
      </c>
      <c r="H6" t="s">
        <v>522</v>
      </c>
    </row>
    <row r="7" spans="1:8">
      <c r="A7" s="5">
        <f t="shared" si="0"/>
        <v>6</v>
      </c>
      <c r="B7" t="s">
        <v>699</v>
      </c>
      <c r="C7" t="s">
        <v>502</v>
      </c>
      <c r="D7" s="6" t="s">
        <v>700</v>
      </c>
      <c r="E7" t="s">
        <v>505</v>
      </c>
      <c r="G7" t="s">
        <v>701</v>
      </c>
      <c r="H7" t="s">
        <v>702</v>
      </c>
    </row>
    <row r="8" spans="1:8">
      <c r="A8" s="5">
        <f t="shared" si="0"/>
        <v>7</v>
      </c>
      <c r="B8" t="s">
        <v>523</v>
      </c>
      <c r="C8" t="s">
        <v>524</v>
      </c>
      <c r="D8" s="6" t="s">
        <v>503</v>
      </c>
      <c r="E8" t="s">
        <v>508</v>
      </c>
      <c r="G8" t="s">
        <v>525</v>
      </c>
      <c r="H8" t="s">
        <v>526</v>
      </c>
    </row>
    <row r="9" spans="1:8">
      <c r="A9" s="5">
        <f t="shared" si="0"/>
        <v>8</v>
      </c>
      <c r="B9" t="s">
        <v>527</v>
      </c>
      <c r="C9" t="s">
        <v>528</v>
      </c>
      <c r="D9" s="7" t="s">
        <v>514</v>
      </c>
      <c r="E9" t="s">
        <v>530</v>
      </c>
      <c r="G9" t="s">
        <v>510</v>
      </c>
      <c r="H9" t="s">
        <v>529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2"/>
  <sheetViews>
    <sheetView workbookViewId="0">
      <selection activeCell="B45" sqref="B2:B45"/>
    </sheetView>
  </sheetViews>
  <sheetFormatPr defaultRowHeight="15"/>
  <cols>
    <col min="1" max="1" width="30.42578125" bestFit="1" customWidth="1"/>
    <col min="8" max="8" width="10.5703125" bestFit="1" customWidth="1"/>
    <col min="9" max="9" width="17.5703125" bestFit="1" customWidth="1"/>
    <col min="10" max="10" width="11.7109375" bestFit="1" customWidth="1"/>
    <col min="13" max="13" width="10.28515625" bestFit="1" customWidth="1"/>
  </cols>
  <sheetData>
    <row r="1" spans="1:14">
      <c r="A1" s="1" t="s">
        <v>0</v>
      </c>
      <c r="B1" s="1" t="s">
        <v>432</v>
      </c>
    </row>
    <row r="2" spans="1:14" ht="15.75" thickBot="1">
      <c r="A2" t="s">
        <v>817</v>
      </c>
      <c r="B2">
        <f>COUNTIFS(Inventory!C:C, A2)</f>
        <v>6</v>
      </c>
    </row>
    <row r="3" spans="1:14">
      <c r="A3" t="s">
        <v>809</v>
      </c>
      <c r="B3">
        <f>COUNTIFS(Inventory!C:C, A3)</f>
        <v>5</v>
      </c>
      <c r="G3" s="2" t="s">
        <v>437</v>
      </c>
      <c r="H3" s="2" t="s">
        <v>686</v>
      </c>
      <c r="I3" s="2" t="s">
        <v>436</v>
      </c>
      <c r="J3" s="2" t="s">
        <v>687</v>
      </c>
    </row>
    <row r="4" spans="1:14" ht="15.75" thickBot="1">
      <c r="A4" t="s">
        <v>819</v>
      </c>
      <c r="B4">
        <f>COUNTIFS(Inventory!C:C, A4)</f>
        <v>5</v>
      </c>
      <c r="G4" s="3">
        <f>COUNTIFS(Inventory!G:G, G3)</f>
        <v>0</v>
      </c>
      <c r="H4" s="3">
        <f>COUNTIFS(Inventory!G:G, H3)</f>
        <v>0</v>
      </c>
      <c r="I4" s="3">
        <f>COUNTIFS(Inventory!G:G, I3)</f>
        <v>445</v>
      </c>
      <c r="J4" s="3">
        <f>COUNTIFS(Inventory!G:G, J3)</f>
        <v>0</v>
      </c>
    </row>
    <row r="5" spans="1:14">
      <c r="A5" t="s">
        <v>806</v>
      </c>
      <c r="B5">
        <f>COUNTIFS(Inventory!C:C, A5)</f>
        <v>9</v>
      </c>
    </row>
    <row r="6" spans="1:14">
      <c r="A6" t="s">
        <v>820</v>
      </c>
      <c r="B6">
        <f>COUNTIFS(Inventory!C:C, A6)</f>
        <v>5</v>
      </c>
    </row>
    <row r="7" spans="1:14">
      <c r="A7" t="s">
        <v>3</v>
      </c>
      <c r="B7">
        <f>COUNTIFS(Inventory!C:C, A7)</f>
        <v>12</v>
      </c>
    </row>
    <row r="8" spans="1:14">
      <c r="A8" t="s">
        <v>807</v>
      </c>
      <c r="B8">
        <f>COUNTIFS(Inventory!C:C, A8)</f>
        <v>5</v>
      </c>
    </row>
    <row r="9" spans="1:14">
      <c r="A9" t="s">
        <v>367</v>
      </c>
      <c r="B9">
        <f>COUNTIFS(Inventory!C:C, A9)</f>
        <v>3</v>
      </c>
    </row>
    <row r="10" spans="1:14" ht="15.75" thickBot="1">
      <c r="A10" t="s">
        <v>250</v>
      </c>
      <c r="B10">
        <f>COUNTIFS(Inventory!C:C, A10)</f>
        <v>14</v>
      </c>
      <c r="M10" s="10" t="s">
        <v>837</v>
      </c>
    </row>
    <row r="11" spans="1:14">
      <c r="A11" t="s">
        <v>818</v>
      </c>
      <c r="B11">
        <f>COUNTIFS(Inventory!C:C, A11)</f>
        <v>12</v>
      </c>
      <c r="M11" s="15">
        <v>2</v>
      </c>
    </row>
    <row r="12" spans="1:14" ht="15.75" thickBot="1">
      <c r="A12" t="s">
        <v>977</v>
      </c>
      <c r="B12">
        <f>COUNTIFS(Inventory!C:C, A12)</f>
        <v>1</v>
      </c>
      <c r="M12" s="14">
        <f>COUNTIFS(Inventory!B:B, M11)</f>
        <v>17</v>
      </c>
    </row>
    <row r="13" spans="1:14">
      <c r="A13" t="s">
        <v>647</v>
      </c>
      <c r="B13">
        <f>COUNTIFS(Inventory!C:C, A13)</f>
        <v>7</v>
      </c>
      <c r="M13" s="15" t="s">
        <v>824</v>
      </c>
    </row>
    <row r="14" spans="1:14" ht="15.75" thickBot="1">
      <c r="A14" t="s">
        <v>62</v>
      </c>
      <c r="B14">
        <f>COUNTIFS(Inventory!C:C, A14)</f>
        <v>16</v>
      </c>
      <c r="M14" s="14">
        <f>COUNTIFS(Inventory!B:B, M13)</f>
        <v>0</v>
      </c>
    </row>
    <row r="15" spans="1:14">
      <c r="A15" t="s">
        <v>735</v>
      </c>
      <c r="B15">
        <f>COUNTIFS(Inventory!C:C, A15)</f>
        <v>2</v>
      </c>
      <c r="M15" s="15">
        <v>3</v>
      </c>
      <c r="N15" t="s">
        <v>840</v>
      </c>
    </row>
    <row r="16" spans="1:14" ht="15.75" thickBot="1">
      <c r="A16" t="s">
        <v>532</v>
      </c>
      <c r="B16">
        <f>COUNTIFS(Inventory!C:C, A16)</f>
        <v>3</v>
      </c>
      <c r="M16" s="14">
        <f>COUNTIFS(Inventory!B:B, M15)</f>
        <v>37</v>
      </c>
    </row>
    <row r="17" spans="1:14">
      <c r="A17" t="s">
        <v>718</v>
      </c>
      <c r="B17">
        <f>COUNTIFS(Inventory!C:C, A17)</f>
        <v>2</v>
      </c>
      <c r="M17" s="15" t="s">
        <v>823</v>
      </c>
    </row>
    <row r="18" spans="1:14" ht="15.75" thickBot="1">
      <c r="A18" t="s">
        <v>810</v>
      </c>
      <c r="B18">
        <f>COUNTIFS(Inventory!C:C, A18)</f>
        <v>8</v>
      </c>
      <c r="M18" s="14">
        <f>COUNTIFS(Inventory!B:B, M17)</f>
        <v>0</v>
      </c>
    </row>
    <row r="19" spans="1:14">
      <c r="A19" t="s">
        <v>208</v>
      </c>
      <c r="B19">
        <f>COUNTIFS(Inventory!C:C, A19)</f>
        <v>31</v>
      </c>
      <c r="M19" s="15">
        <v>4</v>
      </c>
      <c r="N19" t="s">
        <v>839</v>
      </c>
    </row>
    <row r="20" spans="1:14" ht="15.75" thickBot="1">
      <c r="A20" t="s">
        <v>411</v>
      </c>
      <c r="B20">
        <f>COUNTIFS(Inventory!C:C, A20)</f>
        <v>2</v>
      </c>
      <c r="M20" s="14">
        <f>COUNTIFS(Inventory!B:B, M19)</f>
        <v>192</v>
      </c>
    </row>
    <row r="21" spans="1:14">
      <c r="A21" t="s">
        <v>85</v>
      </c>
      <c r="B21">
        <f>COUNTIFS(Inventory!C:C, A21)</f>
        <v>16</v>
      </c>
      <c r="M21" s="15" t="s">
        <v>871</v>
      </c>
    </row>
    <row r="22" spans="1:14" ht="15.75" thickBot="1">
      <c r="A22" t="s">
        <v>815</v>
      </c>
      <c r="B22">
        <f>COUNTIFS(Inventory!C:C, A22)</f>
        <v>2</v>
      </c>
      <c r="M22" s="14">
        <f>COUNTIFS(Inventory!B:B, M21)</f>
        <v>5</v>
      </c>
    </row>
    <row r="23" spans="1:14">
      <c r="A23" t="s">
        <v>543</v>
      </c>
      <c r="B23">
        <f>COUNTIFS(Inventory!C:C, A23)</f>
        <v>20</v>
      </c>
      <c r="M23" s="15">
        <v>5</v>
      </c>
      <c r="N23" t="s">
        <v>838</v>
      </c>
    </row>
    <row r="24" spans="1:14" ht="15.75" thickBot="1">
      <c r="A24" t="s">
        <v>813</v>
      </c>
      <c r="B24">
        <f>COUNTIFS(Inventory!C:C, A24)</f>
        <v>1</v>
      </c>
      <c r="M24" s="14">
        <f>COUNTIFS(Inventory!B:B, M23)</f>
        <v>98</v>
      </c>
    </row>
    <row r="25" spans="1:14">
      <c r="A25" t="s">
        <v>596</v>
      </c>
      <c r="B25">
        <f>COUNTIFS(Inventory!C:C, A25)</f>
        <v>17</v>
      </c>
      <c r="M25" s="13" t="s">
        <v>789</v>
      </c>
    </row>
    <row r="26" spans="1:14" ht="15.75" thickBot="1">
      <c r="A26" t="s">
        <v>483</v>
      </c>
      <c r="B26">
        <f>COUNTIFS(Inventory!C:C, A26)</f>
        <v>18</v>
      </c>
      <c r="M26" s="14">
        <f>COUNTIFS(Inventory!B:B, M25)</f>
        <v>0</v>
      </c>
    </row>
    <row r="27" spans="1:14">
      <c r="A27" t="s">
        <v>329</v>
      </c>
      <c r="B27">
        <f>COUNTIFS(Inventory!C:C, A27)</f>
        <v>14</v>
      </c>
      <c r="M27" s="15">
        <v>6</v>
      </c>
    </row>
    <row r="28" spans="1:14" ht="15.75" thickBot="1">
      <c r="A28" t="s">
        <v>238</v>
      </c>
      <c r="B28">
        <f>COUNTIFS(Inventory!C:C, A28)</f>
        <v>8</v>
      </c>
      <c r="M28" s="3">
        <f>COUNTIFS(Inventory!B:B, M27)</f>
        <v>22</v>
      </c>
    </row>
    <row r="29" spans="1:14">
      <c r="A29" t="s">
        <v>470</v>
      </c>
      <c r="B29">
        <f>COUNTIFS(Inventory!C:C, A29)</f>
        <v>14</v>
      </c>
    </row>
    <row r="30" spans="1:14">
      <c r="A30" t="s">
        <v>704</v>
      </c>
      <c r="B30">
        <f>COUNTIFS(Inventory!C:C, A30)</f>
        <v>8</v>
      </c>
    </row>
    <row r="31" spans="1:14">
      <c r="A31" t="s">
        <v>41</v>
      </c>
      <c r="B31">
        <f>COUNTIFS(Inventory!C:C, A31)</f>
        <v>16</v>
      </c>
    </row>
    <row r="32" spans="1:14">
      <c r="A32" t="s">
        <v>714</v>
      </c>
      <c r="B32">
        <f>COUNTIFS(Inventory!C:C, A32)</f>
        <v>7</v>
      </c>
    </row>
    <row r="33" spans="1:2">
      <c r="A33" t="s">
        <v>591</v>
      </c>
      <c r="B33">
        <f>COUNTIFS(Inventory!C:C, A33)</f>
        <v>4</v>
      </c>
    </row>
    <row r="34" spans="1:2">
      <c r="A34" t="s">
        <v>603</v>
      </c>
      <c r="B34">
        <f>COUNTIFS(Inventory!C:C, A34)</f>
        <v>4</v>
      </c>
    </row>
    <row r="35" spans="1:2">
      <c r="A35" t="s">
        <v>201</v>
      </c>
      <c r="B35">
        <f>COUNTIFS(Inventory!C:C, A35)</f>
        <v>5</v>
      </c>
    </row>
    <row r="36" spans="1:2">
      <c r="A36" s="9" t="s">
        <v>836</v>
      </c>
      <c r="B36">
        <f>COUNTIFS(Inventory!C:C, A36)</f>
        <v>3</v>
      </c>
    </row>
    <row r="37" spans="1:2">
      <c r="A37" s="9" t="s">
        <v>822</v>
      </c>
      <c r="B37">
        <f>COUNTIFS(Inventory!C:C, A37)</f>
        <v>1</v>
      </c>
    </row>
    <row r="38" spans="1:2">
      <c r="A38" s="9" t="s">
        <v>858</v>
      </c>
      <c r="B38">
        <f>COUNTIFS(Inventory!C:C, A38)</f>
        <v>2</v>
      </c>
    </row>
    <row r="39" spans="1:2">
      <c r="A39" s="9" t="s">
        <v>662</v>
      </c>
      <c r="B39">
        <f>COUNTIFS(Inventory!C:C, A39)</f>
        <v>8</v>
      </c>
    </row>
    <row r="40" spans="1:2">
      <c r="A40" t="s">
        <v>586</v>
      </c>
      <c r="B40">
        <f>COUNTIFS(Inventory!C:C, A40)</f>
        <v>5</v>
      </c>
    </row>
    <row r="41" spans="1:2">
      <c r="A41" t="s">
        <v>816</v>
      </c>
      <c r="B41">
        <f>COUNTIFS(Inventory!C:C, A41)</f>
        <v>1</v>
      </c>
    </row>
    <row r="42" spans="1:2">
      <c r="A42" t="s">
        <v>600</v>
      </c>
      <c r="B42">
        <f>COUNTIFS(Inventory!C:C, A42)</f>
        <v>2</v>
      </c>
    </row>
    <row r="43" spans="1:2">
      <c r="A43" t="s">
        <v>812</v>
      </c>
      <c r="B43">
        <f>COUNTIFS(Inventory!C:C, A43)</f>
        <v>5</v>
      </c>
    </row>
    <row r="44" spans="1:2">
      <c r="A44" t="s">
        <v>728</v>
      </c>
      <c r="B44">
        <f>COUNTIFS(Inventory!C:C, A44)</f>
        <v>11</v>
      </c>
    </row>
    <row r="45" spans="1:2">
      <c r="A45" t="s">
        <v>291</v>
      </c>
      <c r="B45">
        <f>COUNTIFS(Inventory!C:C, A45)</f>
        <v>19</v>
      </c>
    </row>
    <row r="46" spans="1:2">
      <c r="A46" t="s">
        <v>461</v>
      </c>
      <c r="B46">
        <f>COUNTIFS(Inventory!C:C, A46)</f>
        <v>4</v>
      </c>
    </row>
    <row r="47" spans="1:2">
      <c r="A47" t="s">
        <v>804</v>
      </c>
      <c r="B47">
        <f>COUNTIFS(Inventory!C:C, A47)</f>
        <v>5</v>
      </c>
    </row>
    <row r="48" spans="1:2">
      <c r="A48" t="s">
        <v>116</v>
      </c>
      <c r="B48">
        <f>COUNTIFS(Inventory!C:C, A48)</f>
        <v>48</v>
      </c>
    </row>
    <row r="49" spans="1:2">
      <c r="A49" t="s">
        <v>340</v>
      </c>
      <c r="B49">
        <f>COUNTIFS(Inventory!C:C, A49)</f>
        <v>16</v>
      </c>
    </row>
    <row r="50" spans="1:2">
      <c r="A50" t="s">
        <v>582</v>
      </c>
      <c r="B50">
        <f>COUNTIFS(Inventory!C:C, A50)</f>
        <v>3</v>
      </c>
    </row>
    <row r="51" spans="1:2">
      <c r="A51" t="s">
        <v>821</v>
      </c>
      <c r="B51">
        <f>COUNTIFS(Inventory!C:C, A51)</f>
        <v>1</v>
      </c>
    </row>
    <row r="52" spans="1:2">
      <c r="B52">
        <f>COUNTIFS(Inventory!C:C, A52)</f>
        <v>0</v>
      </c>
    </row>
  </sheetData>
  <sortState xmlns:xlrd2="http://schemas.microsoft.com/office/spreadsheetml/2017/richdata2" ref="A2:B52">
    <sortCondition ref="A51:A52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A2" sqref="A2"/>
    </sheetView>
  </sheetViews>
  <sheetFormatPr defaultRowHeight="15"/>
  <cols>
    <col min="1" max="1" width="28.28515625" bestFit="1" customWidth="1"/>
    <col min="2" max="2" width="26" bestFit="1" customWidth="1"/>
    <col min="3" max="3" width="11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e" cm="1" vm="1">
        <f t="array" ref="A2">_xlfn._xlws.FILTER(Inventory!D2:G820, Inventory!H2:H820="DUBBEL")</f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Inventory</vt:lpstr>
      <vt:lpstr>Models &amp; LLMs</vt:lpstr>
      <vt:lpstr>CountsPerSuite</vt:lpstr>
      <vt:lpstr>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Bleyaert</cp:lastModifiedBy>
  <dcterms:created xsi:type="dcterms:W3CDTF">2025-09-15T16:53:55Z</dcterms:created>
  <dcterms:modified xsi:type="dcterms:W3CDTF">2025-11-30T19:07:28Z</dcterms:modified>
</cp:coreProperties>
</file>